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xf numFmtId="0" fontId="9"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9"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cellXfs>
  <cellStyles count="1">
    <cellStyle name="Normal" xfId="0" builtinId="0" hidden="0"/>
  </cellStyles>
  <dxfs count="9">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
      <fill>
        <patternFill patternType="solid">
          <fgColor rgb="00C6EFCE"/>
        </patternFill>
      </fill>
    </dxf>
    <dxf>
      <fill>
        <patternFill patternType="solid">
          <fgColor rgb="00FFEB9C"/>
        </patternFill>
      </fill>
    </dxf>
    <dxf>
      <fill>
        <patternFill patternType="solid">
          <fgColor rgb="00FFAB40"/>
        </patternFill>
      </fill>
    </dxf>
    <dxf>
      <fill>
        <patternFill patternType="solid">
          <fgColor rgb="00FFC7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H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0" customWidth="1" min="14" max="14"/>
    <col width="20"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30" customWidth="1" min="25" max="25"/>
    <col width="18" customWidth="1" min="26" max="26"/>
    <col width="35" customWidth="1" min="27" max="27"/>
    <col width="12" customWidth="1" min="28" max="28"/>
    <col width="20" customWidth="1" min="29" max="29"/>
    <col width="18" customWidth="1" min="30" max="30"/>
  </cols>
  <sheetData>
    <row r="1" ht="18" customHeight="1">
      <c r="A1" s="26" t="inlineStr">
        <is>
          <t>GROUP A — REQUIREMENT IDENTITY  (pssgen import — do not edit)</t>
        </is>
      </c>
      <c r="G1" s="27" t="inlineStr">
        <is>
          <t>GROUP B — VERIFICATION PLANNING  (engineer)</t>
        </is>
      </c>
      <c r="P1" s="28" t="inlineStr">
        <is>
          <t>GROUP C — IMPLEMENTATION  (engineer)</t>
        </is>
      </c>
      <c r="S1" s="29" t="inlineStr">
        <is>
          <t>GROUP D — EXECUTION RESULTS  (pssgen)</t>
        </is>
      </c>
      <c r="AB1" s="30" t="inlineStr">
        <is>
          <t>GROUP E — CLOSURE  (engineer)</t>
        </is>
      </c>
      <c r="AF1" s="31"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32" t="inlineStr">
        <is>
          <t>Verification_Category</t>
        </is>
      </c>
      <c r="O2" s="32" t="inlineStr">
        <is>
          <t>Applicability</t>
        </is>
      </c>
      <c r="P2" s="7" t="inlineStr">
        <is>
          <t>Test_Name</t>
        </is>
      </c>
      <c r="Q2" s="7" t="inlineStr">
        <is>
          <t>HDL_Source</t>
        </is>
      </c>
      <c r="R2" s="7" t="inlineStr">
        <is>
          <t>Sim_Mode</t>
        </is>
      </c>
      <c r="S2" s="7" t="inlineStr">
        <is>
          <t>RTL_Status</t>
        </is>
      </c>
      <c r="T2" s="7" t="inlineStr">
        <is>
          <t>RTL_Run_Date</t>
        </is>
      </c>
      <c r="U2" s="7" t="inlineStr">
        <is>
          <t>RTL_Commit</t>
        </is>
      </c>
      <c r="V2" s="7" t="inlineStr">
        <is>
          <t>RTL_Evidence</t>
        </is>
      </c>
      <c r="W2" s="7" t="inlineStr">
        <is>
          <t>Gate_Status</t>
        </is>
      </c>
      <c r="X2" s="7" t="inlineStr">
        <is>
          <t>Gate_Evidence</t>
        </is>
      </c>
      <c r="Y2" s="32" t="inlineStr">
        <is>
          <t>Config_Set</t>
        </is>
      </c>
      <c r="Z2" s="32" t="inlineStr">
        <is>
          <t>Tool_Version</t>
        </is>
      </c>
      <c r="AA2" s="7" t="inlineStr">
        <is>
          <t>Anomaly_ID</t>
        </is>
      </c>
      <c r="AB2" s="7" t="inlineStr">
        <is>
          <t>Overall_Status</t>
        </is>
      </c>
      <c r="AC2" s="7" t="inlineStr">
        <is>
          <t>Closure_Author</t>
        </is>
      </c>
      <c r="AD2" s="7" t="inlineStr">
        <is>
          <t>Closure_Date</t>
        </is>
      </c>
      <c r="AE2" s="7" t="inlineStr">
        <is>
          <t>Closure_Notes</t>
        </is>
      </c>
      <c r="AF2" s="7" t="inlineStr">
        <is>
          <t>IP_Version</t>
        </is>
      </c>
      <c r="AG2" s="7" t="inlineStr">
        <is>
          <t>Target_Device</t>
        </is>
      </c>
      <c r="AH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33" t="inlineStr">
        <is>
          <t>Functional</t>
        </is>
      </c>
      <c r="O3" s="33" t="inlineStr">
        <is>
          <t>ALL</t>
        </is>
      </c>
      <c r="P3" s="9" t="inlineStr">
        <is>
          <t>block_feature_test</t>
        </is>
      </c>
      <c r="Q3" s="9" t="inlineStr">
        <is>
          <t>vhdl/block.vhd</t>
        </is>
      </c>
      <c r="R3" s="8" t="inlineStr">
        <is>
          <t>RTL</t>
        </is>
      </c>
      <c r="S3" s="8" t="inlineStr">
        <is>
          <t>NOT_RUN</t>
        </is>
      </c>
      <c r="T3" s="8" t="inlineStr"/>
      <c r="U3" s="8" t="inlineStr"/>
      <c r="V3" s="9" t="inlineStr"/>
      <c r="W3" s="8" t="inlineStr">
        <is>
          <t>NOT_RUN</t>
        </is>
      </c>
      <c r="X3" s="9" t="inlineStr"/>
      <c r="Y3" s="33" t="inlineStr">
        <is>
          <t>G_FIFO_DEPTH=16, G_DEFAULT_BAUD=115200, G_CLK_FREQ_HZ=100000000</t>
        </is>
      </c>
      <c r="Z3" s="33" t="inlineStr">
        <is>
          <t>Vivado 2024.1 / Questa 23.2</t>
        </is>
      </c>
      <c r="AA3" s="8" t="inlineStr"/>
      <c r="AB3" s="34">
        <f>IF(K3="WAIVED","WAIVED",IF(H3="","OPEN",IF(S3="BLOCKED","BLOCKED",IF(S3="FAIL","FAILING",IF(S3="PASS",IF(AA3&lt;&gt;"","AT_RISK",IF(AC3&lt;&gt;"","CLOSED","PASSING")),"COVERED")))))</f>
        <v/>
      </c>
      <c r="AC3" s="8" t="inlineStr"/>
      <c r="AD3" s="8" t="inlineStr"/>
      <c r="AE3" s="9" t="inlineStr"/>
      <c r="AF3" s="8" t="inlineStr">
        <is>
          <t>0.0.0</t>
        </is>
      </c>
      <c r="AG3" s="8" t="inlineStr"/>
      <c r="AH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is>
          <t>Parametric</t>
        </is>
      </c>
      <c r="O4" s="16" t="inlineStr">
        <is>
          <t>ALL</t>
        </is>
      </c>
      <c r="P4" s="16" t="inlineStr"/>
      <c r="Q4" s="16" t="inlineStr">
        <is>
          <t>vhdl/buffered_axi_lite_uart.vhd</t>
        </is>
      </c>
      <c r="R4" s="16" t="inlineStr">
        <is>
          <t>RTL</t>
        </is>
      </c>
      <c r="S4" s="16" t="inlineStr">
        <is>
          <t>PASS</t>
        </is>
      </c>
      <c r="T4" s="16" t="inlineStr">
        <is>
          <t>2026-04-16</t>
        </is>
      </c>
      <c r="U4" s="16" t="inlineStr">
        <is>
          <t>39c48ee</t>
        </is>
      </c>
      <c r="V4" s="16" t="inlineStr">
        <is>
          <t>ip/buffered_axi_lite_uart/tb/scripts/vivado/xsim.log</t>
        </is>
      </c>
      <c r="W4" s="16" t="inlineStr">
        <is>
          <t>NOT_RUN</t>
        </is>
      </c>
      <c r="X4" s="16" t="inlineStr"/>
      <c r="AA4" s="16" t="inlineStr"/>
      <c r="AB4" s="17">
        <f>IF(K4="WAIVED","WAIVED",IF(H4="","OPEN",IF(S4="BLOCKED","BLOCKED",IF(S4="FAIL","FAILING",IF(S4="PASS",IF(AA4&lt;&gt;"","AT_RISK",IF(AC4&lt;&gt;"","CLOSED","PASSING")),"COVERED")))))</f>
        <v/>
      </c>
      <c r="AC4" s="16" t="inlineStr"/>
      <c r="AD4" s="16" t="inlineStr"/>
      <c r="AE4" s="16" t="inlineStr"/>
      <c r="AF4" s="16" t="inlineStr">
        <is>
          <t>1.0.0</t>
        </is>
      </c>
      <c r="AG4" s="16" t="inlineStr">
        <is>
          <t>ZUBoard 1CG / Basys 3</t>
        </is>
      </c>
      <c r="AH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is>
          <t>Parametric</t>
        </is>
      </c>
      <c r="O5" s="16" t="inlineStr">
        <is>
          <t>ALL</t>
        </is>
      </c>
      <c r="P5" s="16" t="inlineStr"/>
      <c r="Q5" s="16" t="inlineStr">
        <is>
          <t>vhdl/buffered_axi_lite_uart.vhd</t>
        </is>
      </c>
      <c r="R5" s="16" t="inlineStr">
        <is>
          <t>RTL</t>
        </is>
      </c>
      <c r="S5" s="16" t="inlineStr">
        <is>
          <t>PASS</t>
        </is>
      </c>
      <c r="T5" s="16" t="inlineStr">
        <is>
          <t>2026-04-16</t>
        </is>
      </c>
      <c r="U5" s="16" t="inlineStr">
        <is>
          <t>39c48ee</t>
        </is>
      </c>
      <c r="V5" s="16" t="inlineStr">
        <is>
          <t>ip/buffered_axi_lite_uart/tb/scripts/vivado/xsim.log</t>
        </is>
      </c>
      <c r="W5" s="16" t="inlineStr">
        <is>
          <t>NOT_RUN</t>
        </is>
      </c>
      <c r="X5" s="16" t="inlineStr"/>
      <c r="AA5" s="16" t="inlineStr"/>
      <c r="AB5" s="17">
        <f>IF(K5="WAIVED","WAIVED",IF(H5="","OPEN",IF(S5="BLOCKED","BLOCKED",IF(S5="FAIL","FAILING",IF(S5="PASS",IF(AA5&lt;&gt;"","AT_RISK",IF(AC5&lt;&gt;"","CLOSED","PASSING")),"COVERED")))))</f>
        <v/>
      </c>
      <c r="AC5" s="16" t="inlineStr"/>
      <c r="AD5" s="16" t="inlineStr"/>
      <c r="AE5" s="16" t="inlineStr"/>
      <c r="AF5" s="16" t="inlineStr">
        <is>
          <t>1.0.0</t>
        </is>
      </c>
      <c r="AG5" s="16" t="inlineStr">
        <is>
          <t>ZUBoard 1CG / Basys 3</t>
        </is>
      </c>
      <c r="AH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is>
          <t>Parametric</t>
        </is>
      </c>
      <c r="O6" s="16" t="inlineStr">
        <is>
          <t>ALL</t>
        </is>
      </c>
      <c r="P6" s="16" t="inlineStr"/>
      <c r="Q6" s="16" t="inlineStr">
        <is>
          <t>vhdl/buffered_axi_lite_uart.vhd</t>
        </is>
      </c>
      <c r="R6" s="16" t="inlineStr">
        <is>
          <t>RTL</t>
        </is>
      </c>
      <c r="S6" s="16" t="inlineStr">
        <is>
          <t>NOT_RUN</t>
        </is>
      </c>
      <c r="T6" s="16" t="inlineStr"/>
      <c r="U6" s="16" t="inlineStr"/>
      <c r="V6" s="16" t="inlineStr"/>
      <c r="W6" s="16" t="inlineStr">
        <is>
          <t>NOT_RUN</t>
        </is>
      </c>
      <c r="X6" s="16" t="inlineStr"/>
      <c r="AA6" s="16" t="inlineStr"/>
      <c r="AB6" s="17">
        <f>IF(K6="WAIVED","WAIVED",IF(H6="","OPEN",IF(S6="BLOCKED","BLOCKED",IF(S6="FAIL","FAILING",IF(S6="PASS",IF(AA6&lt;&gt;"","AT_RISK",IF(AC6&lt;&gt;"","CLOSED","PASSING")),"COVERED")))))</f>
        <v/>
      </c>
      <c r="AC6" s="16" t="inlineStr"/>
      <c r="AD6" s="16" t="inlineStr"/>
      <c r="AE6" s="16" t="inlineStr"/>
      <c r="AF6" s="16" t="inlineStr">
        <is>
          <t>1.0.0</t>
        </is>
      </c>
      <c r="AG6" s="16" t="inlineStr">
        <is>
          <t>ZUBoard 1CG / Basys 3</t>
        </is>
      </c>
      <c r="AH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is>
          <t>Parametric</t>
        </is>
      </c>
      <c r="O7" s="16" t="inlineStr">
        <is>
          <t>ALL</t>
        </is>
      </c>
      <c r="P7" s="16" t="inlineStr"/>
      <c r="Q7" s="16" t="inlineStr">
        <is>
          <t>vhdl/buffered_axi_lite_uart.vhd</t>
        </is>
      </c>
      <c r="R7" s="16" t="inlineStr">
        <is>
          <t>RTL</t>
        </is>
      </c>
      <c r="S7" s="16" t="inlineStr">
        <is>
          <t>PASS</t>
        </is>
      </c>
      <c r="T7" s="16" t="inlineStr">
        <is>
          <t>2026-04-16</t>
        </is>
      </c>
      <c r="U7" s="16" t="inlineStr">
        <is>
          <t>39c48ee</t>
        </is>
      </c>
      <c r="V7" s="16" t="inlineStr">
        <is>
          <t>ip/buffered_axi_lite_uart/tb/scripts/vivado/xsim.log</t>
        </is>
      </c>
      <c r="W7" s="16" t="inlineStr">
        <is>
          <t>NOT_RUN</t>
        </is>
      </c>
      <c r="X7" s="16" t="inlineStr"/>
      <c r="AA7" s="16" t="inlineStr"/>
      <c r="AB7" s="17">
        <f>IF(K7="WAIVED","WAIVED",IF(H7="","OPEN",IF(S7="BLOCKED","BLOCKED",IF(S7="FAIL","FAILING",IF(S7="PASS",IF(AA7&lt;&gt;"","AT_RISK",IF(AC7&lt;&gt;"","CLOSED","PASSING")),"COVERED")))))</f>
        <v/>
      </c>
      <c r="AC7" s="16" t="inlineStr"/>
      <c r="AD7" s="16" t="inlineStr"/>
      <c r="AE7" s="16" t="inlineStr"/>
      <c r="AF7" s="16" t="inlineStr">
        <is>
          <t>1.0.0</t>
        </is>
      </c>
      <c r="AG7" s="16" t="inlineStr">
        <is>
          <t>ZUBoard 1CG / Basys 3</t>
        </is>
      </c>
      <c r="AH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is>
          <t>Parametric</t>
        </is>
      </c>
      <c r="O8" s="16" t="inlineStr">
        <is>
          <t>ALL</t>
        </is>
      </c>
      <c r="P8" s="16" t="inlineStr"/>
      <c r="Q8" s="16" t="inlineStr">
        <is>
          <t>vhdl/buffered_axi_lite_uart.vhd</t>
        </is>
      </c>
      <c r="R8" s="16" t="inlineStr">
        <is>
          <t>RTL</t>
        </is>
      </c>
      <c r="S8" s="16" t="inlineStr">
        <is>
          <t>PASS</t>
        </is>
      </c>
      <c r="T8" s="16" t="inlineStr">
        <is>
          <t>2026-04-16</t>
        </is>
      </c>
      <c r="U8" s="16" t="inlineStr">
        <is>
          <t>39c48ee</t>
        </is>
      </c>
      <c r="V8" s="16" t="inlineStr">
        <is>
          <t>ip/buffered_axi_lite_uart/tb/scripts/vivado/xsim.log</t>
        </is>
      </c>
      <c r="W8" s="16" t="inlineStr">
        <is>
          <t>NOT_RUN</t>
        </is>
      </c>
      <c r="X8" s="16" t="inlineStr"/>
      <c r="AA8" s="16" t="inlineStr"/>
      <c r="AB8" s="17">
        <f>IF(K8="WAIVED","WAIVED",IF(H8="","OPEN",IF(S8="BLOCKED","BLOCKED",IF(S8="FAIL","FAILING",IF(S8="PASS",IF(AA8&lt;&gt;"","AT_RISK",IF(AC8&lt;&gt;"","CLOSED","PASSING")),"COVERED")))))</f>
        <v/>
      </c>
      <c r="AC8" s="16" t="inlineStr"/>
      <c r="AD8" s="16" t="inlineStr"/>
      <c r="AE8" s="16" t="inlineStr"/>
      <c r="AF8" s="16" t="inlineStr">
        <is>
          <t>1.0.0</t>
        </is>
      </c>
      <c r="AG8" s="16" t="inlineStr">
        <is>
          <t>ZUBoard 1CG / Basys 3</t>
        </is>
      </c>
      <c r="AH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is>
          <t>Parametric</t>
        </is>
      </c>
      <c r="O9" s="16" t="inlineStr">
        <is>
          <t>ALL</t>
        </is>
      </c>
      <c r="P9" s="16" t="inlineStr"/>
      <c r="Q9" s="16" t="inlineStr">
        <is>
          <t>vhdl/buffered_axi_lite_uart.vhd</t>
        </is>
      </c>
      <c r="R9" s="16" t="inlineStr">
        <is>
          <t>RTL</t>
        </is>
      </c>
      <c r="S9" s="16" t="inlineStr">
        <is>
          <t>PASS</t>
        </is>
      </c>
      <c r="T9" s="16" t="inlineStr">
        <is>
          <t>2026-04-16</t>
        </is>
      </c>
      <c r="U9" s="16" t="inlineStr">
        <is>
          <t>39c48ee</t>
        </is>
      </c>
      <c r="V9" s="16" t="inlineStr">
        <is>
          <t>ip/buffered_axi_lite_uart/tb/scripts/vivado/xsim.log</t>
        </is>
      </c>
      <c r="W9" s="16" t="inlineStr">
        <is>
          <t>NOT_RUN</t>
        </is>
      </c>
      <c r="X9" s="16" t="inlineStr"/>
      <c r="AA9" s="16" t="inlineStr"/>
      <c r="AB9" s="17">
        <f>IF(K9="WAIVED","WAIVED",IF(H9="","OPEN",IF(S9="BLOCKED","BLOCKED",IF(S9="FAIL","FAILING",IF(S9="PASS",IF(AA9&lt;&gt;"","AT_RISK",IF(AC9&lt;&gt;"","CLOSED","PASSING")),"COVERED")))))</f>
        <v/>
      </c>
      <c r="AC9" s="16" t="inlineStr"/>
      <c r="AD9" s="16" t="inlineStr"/>
      <c r="AE9" s="16" t="inlineStr"/>
      <c r="AF9" s="16" t="inlineStr">
        <is>
          <t>1.0.0</t>
        </is>
      </c>
      <c r="AG9" s="16" t="inlineStr">
        <is>
          <t>ZUBoard 1CG / Basys 3</t>
        </is>
      </c>
      <c r="AH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is>
          <t>Parametric</t>
        </is>
      </c>
      <c r="O10" s="16" t="inlineStr">
        <is>
          <t>ALL</t>
        </is>
      </c>
      <c r="P10" s="16" t="inlineStr"/>
      <c r="Q10" s="16" t="inlineStr">
        <is>
          <t>vhdl/buffered_axi_lite_uart.vhd</t>
        </is>
      </c>
      <c r="R10" s="16" t="inlineStr">
        <is>
          <t>RTL</t>
        </is>
      </c>
      <c r="S10" s="16" t="inlineStr">
        <is>
          <t>PASS</t>
        </is>
      </c>
      <c r="T10" s="16" t="inlineStr">
        <is>
          <t>2026-04-16</t>
        </is>
      </c>
      <c r="U10" s="16" t="inlineStr">
        <is>
          <t>39c48ee</t>
        </is>
      </c>
      <c r="V10" s="16" t="inlineStr">
        <is>
          <t>ip/buffered_axi_lite_uart/tb/scripts/vivado/xsim.log</t>
        </is>
      </c>
      <c r="W10" s="16" t="inlineStr">
        <is>
          <t>NOT_RUN</t>
        </is>
      </c>
      <c r="X10" s="16" t="inlineStr"/>
      <c r="AA10" s="16" t="inlineStr"/>
      <c r="AB10" s="17">
        <f>IF(K10="WAIVED","WAIVED",IF(H10="","OPEN",IF(S10="BLOCKED","BLOCKED",IF(S10="FAIL","FAILING",IF(S10="PASS",IF(AA10&lt;&gt;"","AT_RISK",IF(AC10&lt;&gt;"","CLOSED","PASSING")),"COVERED")))))</f>
        <v/>
      </c>
      <c r="AC10" s="16" t="inlineStr"/>
      <c r="AD10" s="16" t="inlineStr"/>
      <c r="AE10" s="16" t="inlineStr"/>
      <c r="AF10" s="16" t="inlineStr">
        <is>
          <t>1.0.0</t>
        </is>
      </c>
      <c r="AG10" s="16" t="inlineStr">
        <is>
          <t>ZUBoard 1CG / Basys 3</t>
        </is>
      </c>
      <c r="AH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is>
          <t>Parametric</t>
        </is>
      </c>
      <c r="O11" s="16" t="inlineStr">
        <is>
          <t>ALL</t>
        </is>
      </c>
      <c r="P11" s="16" t="inlineStr"/>
      <c r="Q11" s="16" t="inlineStr">
        <is>
          <t>vhdl/buffered_axi_lite_uart.vhd</t>
        </is>
      </c>
      <c r="R11" s="16" t="inlineStr">
        <is>
          <t>RTL</t>
        </is>
      </c>
      <c r="S11" s="16" t="inlineStr">
        <is>
          <t>PASS</t>
        </is>
      </c>
      <c r="T11" s="16" t="inlineStr">
        <is>
          <t>2026-04-16</t>
        </is>
      </c>
      <c r="U11" s="16" t="inlineStr">
        <is>
          <t>39c48ee</t>
        </is>
      </c>
      <c r="V11" s="16" t="inlineStr">
        <is>
          <t>ip/buffered_axi_lite_uart/tb/scripts/vivado/xsim.log</t>
        </is>
      </c>
      <c r="W11" s="16" t="inlineStr">
        <is>
          <t>NOT_RUN</t>
        </is>
      </c>
      <c r="X11" s="16" t="inlineStr"/>
      <c r="AA11" s="16" t="inlineStr"/>
      <c r="AB11" s="17">
        <f>IF(K11="WAIVED","WAIVED",IF(H11="","OPEN",IF(S11="BLOCKED","BLOCKED",IF(S11="FAIL","FAILING",IF(S11="PASS",IF(AA11&lt;&gt;"","AT_RISK",IF(AC11&lt;&gt;"","CLOSED","PASSING")),"COVERED")))))</f>
        <v/>
      </c>
      <c r="AC11" s="16" t="inlineStr"/>
      <c r="AD11" s="16" t="inlineStr"/>
      <c r="AE11" s="16" t="inlineStr"/>
      <c r="AF11" s="16" t="inlineStr">
        <is>
          <t>1.0.0</t>
        </is>
      </c>
      <c r="AG11" s="16" t="inlineStr">
        <is>
          <t>ZUBoard 1CG / Basys 3</t>
        </is>
      </c>
      <c r="AH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is>
          <t>Parametric</t>
        </is>
      </c>
      <c r="O12" s="16" t="inlineStr">
        <is>
          <t>ALL</t>
        </is>
      </c>
      <c r="P12" s="16" t="inlineStr"/>
      <c r="Q12" s="16" t="inlineStr">
        <is>
          <t>vhdl/buffered_axi_lite_uart.vhd</t>
        </is>
      </c>
      <c r="R12" s="16" t="inlineStr">
        <is>
          <t>RTL</t>
        </is>
      </c>
      <c r="S12" s="16" t="inlineStr">
        <is>
          <t>PASS</t>
        </is>
      </c>
      <c r="T12" s="16" t="inlineStr">
        <is>
          <t>2026-04-16</t>
        </is>
      </c>
      <c r="U12" s="16" t="inlineStr">
        <is>
          <t>39c48ee</t>
        </is>
      </c>
      <c r="V12" s="16" t="inlineStr">
        <is>
          <t>ip/buffered_axi_lite_uart/tb/scripts/vivado/xsim.log</t>
        </is>
      </c>
      <c r="W12" s="16" t="inlineStr">
        <is>
          <t>NOT_RUN</t>
        </is>
      </c>
      <c r="X12" s="16" t="inlineStr"/>
      <c r="AA12" s="16" t="inlineStr"/>
      <c r="AB12" s="17">
        <f>IF(K12="WAIVED","WAIVED",IF(H12="","OPEN",IF(S12="BLOCKED","BLOCKED",IF(S12="FAIL","FAILING",IF(S12="PASS",IF(AA12&lt;&gt;"","AT_RISK",IF(AC12&lt;&gt;"","CLOSED","PASSING")),"COVERED")))))</f>
        <v/>
      </c>
      <c r="AC12" s="16" t="inlineStr"/>
      <c r="AD12" s="16" t="inlineStr"/>
      <c r="AE12" s="16" t="inlineStr"/>
      <c r="AF12" s="16" t="inlineStr">
        <is>
          <t>1.0.0</t>
        </is>
      </c>
      <c r="AG12" s="16" t="inlineStr">
        <is>
          <t>ZUBoard 1CG / Basys 3</t>
        </is>
      </c>
      <c r="AH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is>
          <t>Protocol_Compliance</t>
        </is>
      </c>
      <c r="O13" s="16" t="inlineStr">
        <is>
          <t>ALL</t>
        </is>
      </c>
      <c r="P13" s="16" t="inlineStr"/>
      <c r="Q13" s="16" t="inlineStr">
        <is>
          <t>vhdl/buffered_axi_lite_uart.vhd</t>
        </is>
      </c>
      <c r="R13" s="16" t="inlineStr">
        <is>
          <t>RTL</t>
        </is>
      </c>
      <c r="S13" s="16" t="inlineStr">
        <is>
          <t>PASS</t>
        </is>
      </c>
      <c r="T13" s="16" t="inlineStr">
        <is>
          <t>2026-04-16</t>
        </is>
      </c>
      <c r="U13" s="16" t="inlineStr">
        <is>
          <t>39c48ee</t>
        </is>
      </c>
      <c r="V13" s="16" t="inlineStr">
        <is>
          <t>ip/buffered_axi_lite_uart/tb/scripts/vivado/xsim.log</t>
        </is>
      </c>
      <c r="W13" s="16" t="inlineStr">
        <is>
          <t>NOT_RUN</t>
        </is>
      </c>
      <c r="X13" s="16" t="inlineStr"/>
      <c r="AA13" s="16" t="inlineStr"/>
      <c r="AB13" s="17">
        <f>IF(K13="WAIVED","WAIVED",IF(H13="","OPEN",IF(S13="BLOCKED","BLOCKED",IF(S13="FAIL","FAILING",IF(S13="PASS",IF(AA13&lt;&gt;"","AT_RISK",IF(AC13&lt;&gt;"","CLOSED","PASSING")),"COVERED")))))</f>
        <v/>
      </c>
      <c r="AC13" s="16" t="inlineStr"/>
      <c r="AD13" s="16" t="inlineStr"/>
      <c r="AE13" s="16" t="inlineStr"/>
      <c r="AF13" s="16" t="inlineStr">
        <is>
          <t>1.0.0</t>
        </is>
      </c>
      <c r="AG13" s="16" t="inlineStr">
        <is>
          <t>ZUBoard 1CG / Basys 3</t>
        </is>
      </c>
      <c r="AH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is>
          <t>Protocol_Compliance</t>
        </is>
      </c>
      <c r="O14" s="16" t="inlineStr">
        <is>
          <t>ALL</t>
        </is>
      </c>
      <c r="P14" s="16" t="inlineStr"/>
      <c r="Q14" s="16" t="inlineStr">
        <is>
          <t>vhdl/buffered_axi_lite_uart.vhd</t>
        </is>
      </c>
      <c r="R14" s="16" t="inlineStr">
        <is>
          <t>RTL</t>
        </is>
      </c>
      <c r="S14" s="16" t="inlineStr">
        <is>
          <t>PASS</t>
        </is>
      </c>
      <c r="T14" s="16" t="inlineStr">
        <is>
          <t>2026-04-16</t>
        </is>
      </c>
      <c r="U14" s="16" t="inlineStr">
        <is>
          <t>39c48ee</t>
        </is>
      </c>
      <c r="V14" s="16" t="inlineStr">
        <is>
          <t>ip/buffered_axi_lite_uart/tb/scripts/vivado/xsim.log</t>
        </is>
      </c>
      <c r="W14" s="16" t="inlineStr">
        <is>
          <t>NOT_RUN</t>
        </is>
      </c>
      <c r="X14" s="16" t="inlineStr"/>
      <c r="AA14" s="16" t="inlineStr"/>
      <c r="AB14" s="17">
        <f>IF(K14="WAIVED","WAIVED",IF(H14="","OPEN",IF(S14="BLOCKED","BLOCKED",IF(S14="FAIL","FAILING",IF(S14="PASS",IF(AA14&lt;&gt;"","AT_RISK",IF(AC14&lt;&gt;"","CLOSED","PASSING")),"COVERED")))))</f>
        <v/>
      </c>
      <c r="AC14" s="16" t="inlineStr"/>
      <c r="AD14" s="16" t="inlineStr"/>
      <c r="AE14" s="16" t="inlineStr"/>
      <c r="AF14" s="16" t="inlineStr">
        <is>
          <t>1.0.0</t>
        </is>
      </c>
      <c r="AG14" s="16" t="inlineStr">
        <is>
          <t>ZUBoard 1CG / Basys 3</t>
        </is>
      </c>
      <c r="AH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is>
          <t>Protocol_Compliance</t>
        </is>
      </c>
      <c r="O15" s="16" t="inlineStr">
        <is>
          <t>ALL</t>
        </is>
      </c>
      <c r="P15" s="16" t="inlineStr"/>
      <c r="Q15" s="16" t="inlineStr">
        <is>
          <t>vhdl/buffered_axi_lite_uart.vhd</t>
        </is>
      </c>
      <c r="R15" s="16" t="inlineStr">
        <is>
          <t>RTL</t>
        </is>
      </c>
      <c r="S15" s="16" t="inlineStr">
        <is>
          <t>PASS</t>
        </is>
      </c>
      <c r="T15" s="16" t="inlineStr">
        <is>
          <t>2026-04-16</t>
        </is>
      </c>
      <c r="U15" s="16" t="inlineStr">
        <is>
          <t>39c48ee</t>
        </is>
      </c>
      <c r="V15" s="16" t="inlineStr">
        <is>
          <t>ip/buffered_axi_lite_uart/tb/scripts/vivado/xsim.log</t>
        </is>
      </c>
      <c r="W15" s="16" t="inlineStr">
        <is>
          <t>NOT_RUN</t>
        </is>
      </c>
      <c r="X15" s="16" t="inlineStr"/>
      <c r="AA15" s="16" t="inlineStr"/>
      <c r="AB15" s="17">
        <f>IF(K15="WAIVED","WAIVED",IF(H15="","OPEN",IF(S15="BLOCKED","BLOCKED",IF(S15="FAIL","FAILING",IF(S15="PASS",IF(AA15&lt;&gt;"","AT_RISK",IF(AC15&lt;&gt;"","CLOSED","PASSING")),"COVERED")))))</f>
        <v/>
      </c>
      <c r="AC15" s="16" t="inlineStr"/>
      <c r="AD15" s="16" t="inlineStr"/>
      <c r="AE15" s="16" t="inlineStr"/>
      <c r="AF15" s="16" t="inlineStr">
        <is>
          <t>1.0.0</t>
        </is>
      </c>
      <c r="AG15" s="16" t="inlineStr">
        <is>
          <t>ZUBoard 1CG / Basys 3</t>
        </is>
      </c>
      <c r="AH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is>
          <t>Protocol_Compliance</t>
        </is>
      </c>
      <c r="O16" s="16" t="inlineStr">
        <is>
          <t>ALL</t>
        </is>
      </c>
      <c r="P16" s="16" t="inlineStr"/>
      <c r="Q16" s="16" t="inlineStr">
        <is>
          <t>vhdl/buffered_axi_lite_uart.vhd</t>
        </is>
      </c>
      <c r="R16" s="16" t="inlineStr">
        <is>
          <t>RTL</t>
        </is>
      </c>
      <c r="S16" s="16" t="inlineStr">
        <is>
          <t>PASS</t>
        </is>
      </c>
      <c r="T16" s="16" t="inlineStr">
        <is>
          <t>2026-04-16</t>
        </is>
      </c>
      <c r="U16" s="16" t="inlineStr">
        <is>
          <t>39c48ee</t>
        </is>
      </c>
      <c r="V16" s="16" t="inlineStr">
        <is>
          <t>ip/buffered_axi_lite_uart/tb/scripts/vivado/xsim.log</t>
        </is>
      </c>
      <c r="W16" s="16" t="inlineStr">
        <is>
          <t>NOT_RUN</t>
        </is>
      </c>
      <c r="X16" s="16" t="inlineStr"/>
      <c r="AA16" s="16" t="inlineStr"/>
      <c r="AB16" s="17">
        <f>IF(K16="WAIVED","WAIVED",IF(H16="","OPEN",IF(S16="BLOCKED","BLOCKED",IF(S16="FAIL","FAILING",IF(S16="PASS",IF(AA16&lt;&gt;"","AT_RISK",IF(AC16&lt;&gt;"","CLOSED","PASSING")),"COVERED")))))</f>
        <v/>
      </c>
      <c r="AC16" s="16" t="inlineStr"/>
      <c r="AD16" s="16" t="inlineStr"/>
      <c r="AE16" s="16" t="inlineStr"/>
      <c r="AF16" s="16" t="inlineStr">
        <is>
          <t>1.0.0</t>
        </is>
      </c>
      <c r="AG16" s="16" t="inlineStr">
        <is>
          <t>ZUBoard 1CG / Basys 3</t>
        </is>
      </c>
      <c r="AH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is>
          <t>Protocol_Compliance</t>
        </is>
      </c>
      <c r="O17" s="16" t="inlineStr">
        <is>
          <t>ALL</t>
        </is>
      </c>
      <c r="P17" s="16" t="inlineStr"/>
      <c r="Q17" s="16" t="inlineStr">
        <is>
          <t>vhdl/buffered_axi_lite_uart.vhd</t>
        </is>
      </c>
      <c r="R17" s="16" t="inlineStr">
        <is>
          <t>RTL</t>
        </is>
      </c>
      <c r="S17" s="16" t="inlineStr">
        <is>
          <t>PASS</t>
        </is>
      </c>
      <c r="T17" s="16" t="inlineStr">
        <is>
          <t>2026-04-16</t>
        </is>
      </c>
      <c r="U17" s="16" t="inlineStr">
        <is>
          <t>39c48ee</t>
        </is>
      </c>
      <c r="V17" s="16" t="inlineStr">
        <is>
          <t>ip/buffered_axi_lite_uart/tb/scripts/vivado/xsim.log</t>
        </is>
      </c>
      <c r="W17" s="16" t="inlineStr">
        <is>
          <t>NOT_RUN</t>
        </is>
      </c>
      <c r="X17" s="16" t="inlineStr"/>
      <c r="AA17" s="16" t="inlineStr"/>
      <c r="AB17" s="17">
        <f>IF(K17="WAIVED","WAIVED",IF(H17="","OPEN",IF(S17="BLOCKED","BLOCKED",IF(S17="FAIL","FAILING",IF(S17="PASS",IF(AA17&lt;&gt;"","AT_RISK",IF(AC17&lt;&gt;"","CLOSED","PASSING")),"COVERED")))))</f>
        <v/>
      </c>
      <c r="AC17" s="16" t="inlineStr"/>
      <c r="AD17" s="16" t="inlineStr"/>
      <c r="AE17" s="16" t="inlineStr"/>
      <c r="AF17" s="16" t="inlineStr">
        <is>
          <t>1.0.0</t>
        </is>
      </c>
      <c r="AG17" s="16" t="inlineStr">
        <is>
          <t>ZUBoard 1CG / Basys 3</t>
        </is>
      </c>
      <c r="AH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is>
          <t>Protocol_Compliance</t>
        </is>
      </c>
      <c r="O18" s="16" t="inlineStr">
        <is>
          <t>ALL</t>
        </is>
      </c>
      <c r="P18" s="16" t="inlineStr"/>
      <c r="Q18" s="16" t="inlineStr">
        <is>
          <t>vhdl/buffered_axi_lite_uart.vhd</t>
        </is>
      </c>
      <c r="R18" s="16" t="inlineStr">
        <is>
          <t>RTL</t>
        </is>
      </c>
      <c r="S18" s="16" t="inlineStr">
        <is>
          <t>PASS</t>
        </is>
      </c>
      <c r="T18" s="16" t="inlineStr">
        <is>
          <t>2026-04-16</t>
        </is>
      </c>
      <c r="U18" s="16" t="inlineStr">
        <is>
          <t>39c48ee</t>
        </is>
      </c>
      <c r="V18" s="16" t="inlineStr">
        <is>
          <t>ip/buffered_axi_lite_uart/tb/scripts/vivado/xsim.log</t>
        </is>
      </c>
      <c r="W18" s="16" t="inlineStr">
        <is>
          <t>NOT_RUN</t>
        </is>
      </c>
      <c r="X18" s="16" t="inlineStr"/>
      <c r="AA18" s="16" t="inlineStr"/>
      <c r="AB18" s="17">
        <f>IF(K18="WAIVED","WAIVED",IF(H18="","OPEN",IF(S18="BLOCKED","BLOCKED",IF(S18="FAIL","FAILING",IF(S18="PASS",IF(AA18&lt;&gt;"","AT_RISK",IF(AC18&lt;&gt;"","CLOSED","PASSING")),"COVERED")))))</f>
        <v/>
      </c>
      <c r="AC18" s="16" t="inlineStr"/>
      <c r="AD18" s="16" t="inlineStr"/>
      <c r="AE18" s="16" t="inlineStr"/>
      <c r="AF18" s="16" t="inlineStr">
        <is>
          <t>1.0.0</t>
        </is>
      </c>
      <c r="AG18" s="16" t="inlineStr">
        <is>
          <t>ZUBoard 1CG / Basys 3</t>
        </is>
      </c>
      <c r="AH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is>
          <t>Protocol_Compliance</t>
        </is>
      </c>
      <c r="O19" s="16" t="inlineStr">
        <is>
          <t>ALL</t>
        </is>
      </c>
      <c r="P19" s="16" t="inlineStr"/>
      <c r="Q19" s="16" t="inlineStr">
        <is>
          <t>vhdl/buffered_axi_lite_uart.vhd</t>
        </is>
      </c>
      <c r="R19" s="16" t="inlineStr">
        <is>
          <t>RTL</t>
        </is>
      </c>
      <c r="S19" s="16" t="inlineStr">
        <is>
          <t>PASS</t>
        </is>
      </c>
      <c r="T19" s="16" t="inlineStr">
        <is>
          <t>2026-04-16</t>
        </is>
      </c>
      <c r="U19" s="16" t="inlineStr">
        <is>
          <t>39c48ee</t>
        </is>
      </c>
      <c r="V19" s="16" t="inlineStr">
        <is>
          <t>ip/buffered_axi_lite_uart/tb/scripts/vivado/xsim.log</t>
        </is>
      </c>
      <c r="W19" s="16" t="inlineStr">
        <is>
          <t>NOT_RUN</t>
        </is>
      </c>
      <c r="X19" s="16" t="inlineStr"/>
      <c r="AA19" s="16" t="inlineStr"/>
      <c r="AB19" s="17">
        <f>IF(K19="WAIVED","WAIVED",IF(H19="","OPEN",IF(S19="BLOCKED","BLOCKED",IF(S19="FAIL","FAILING",IF(S19="PASS",IF(AA19&lt;&gt;"","AT_RISK",IF(AC19&lt;&gt;"","CLOSED","PASSING")),"COVERED")))))</f>
        <v/>
      </c>
      <c r="AC19" s="16" t="inlineStr"/>
      <c r="AD19" s="16" t="inlineStr"/>
      <c r="AE19" s="16" t="inlineStr"/>
      <c r="AF19" s="16" t="inlineStr">
        <is>
          <t>1.0.0</t>
        </is>
      </c>
      <c r="AG19" s="16" t="inlineStr">
        <is>
          <t>ZUBoard 1CG / Basys 3</t>
        </is>
      </c>
      <c r="AH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is>
          <t>Protocol_Compliance</t>
        </is>
      </c>
      <c r="O20" s="16" t="inlineStr">
        <is>
          <t>ALL</t>
        </is>
      </c>
      <c r="P20" s="16" t="inlineStr"/>
      <c r="Q20" s="16" t="inlineStr">
        <is>
          <t>vhdl/buffered_axi_lite_uart.vhd</t>
        </is>
      </c>
      <c r="R20" s="16" t="inlineStr">
        <is>
          <t>RTL</t>
        </is>
      </c>
      <c r="S20" s="16" t="inlineStr">
        <is>
          <t>PASS</t>
        </is>
      </c>
      <c r="T20" s="16" t="inlineStr">
        <is>
          <t>2026-04-16</t>
        </is>
      </c>
      <c r="U20" s="16" t="inlineStr">
        <is>
          <t>39c48ee</t>
        </is>
      </c>
      <c r="V20" s="16" t="inlineStr">
        <is>
          <t>ip/buffered_axi_lite_uart/tb/scripts/vivado/xsim.log</t>
        </is>
      </c>
      <c r="W20" s="16" t="inlineStr">
        <is>
          <t>NOT_RUN</t>
        </is>
      </c>
      <c r="X20" s="16" t="inlineStr"/>
      <c r="AA20" s="16" t="inlineStr"/>
      <c r="AB20" s="17">
        <f>IF(K20="WAIVED","WAIVED",IF(H20="","OPEN",IF(S20="BLOCKED","BLOCKED",IF(S20="FAIL","FAILING",IF(S20="PASS",IF(AA20&lt;&gt;"","AT_RISK",IF(AC20&lt;&gt;"","CLOSED","PASSING")),"COVERED")))))</f>
        <v/>
      </c>
      <c r="AC20" s="16" t="inlineStr"/>
      <c r="AD20" s="16" t="inlineStr"/>
      <c r="AE20" s="16" t="inlineStr"/>
      <c r="AF20" s="16" t="inlineStr">
        <is>
          <t>1.0.0</t>
        </is>
      </c>
      <c r="AG20" s="16" t="inlineStr">
        <is>
          <t>ZUBoard 1CG / Basys 3</t>
        </is>
      </c>
      <c r="AH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is>
          <t>Protocol_Compliance</t>
        </is>
      </c>
      <c r="O21" s="16" t="inlineStr">
        <is>
          <t>ALL</t>
        </is>
      </c>
      <c r="P21" s="16" t="inlineStr"/>
      <c r="Q21" s="16" t="inlineStr">
        <is>
          <t>vhdl/buffered_axi_lite_uart.vhd</t>
        </is>
      </c>
      <c r="R21" s="16" t="inlineStr">
        <is>
          <t>RTL</t>
        </is>
      </c>
      <c r="S21" s="16" t="inlineStr">
        <is>
          <t>PASS</t>
        </is>
      </c>
      <c r="T21" s="16" t="inlineStr">
        <is>
          <t>2026-04-16</t>
        </is>
      </c>
      <c r="U21" s="16" t="inlineStr">
        <is>
          <t>39c48ee</t>
        </is>
      </c>
      <c r="V21" s="16" t="inlineStr">
        <is>
          <t>ip/buffered_axi_lite_uart/tb/scripts/vivado/xsim.log</t>
        </is>
      </c>
      <c r="W21" s="16" t="inlineStr">
        <is>
          <t>NOT_RUN</t>
        </is>
      </c>
      <c r="X21" s="16" t="inlineStr"/>
      <c r="AA21" s="16" t="inlineStr"/>
      <c r="AB21" s="17">
        <f>IF(K21="WAIVED","WAIVED",IF(H21="","OPEN",IF(S21="BLOCKED","BLOCKED",IF(S21="FAIL","FAILING",IF(S21="PASS",IF(AA21&lt;&gt;"","AT_RISK",IF(AC21&lt;&gt;"","CLOSED","PASSING")),"COVERED")))))</f>
        <v/>
      </c>
      <c r="AC21" s="16" t="inlineStr"/>
      <c r="AD21" s="16" t="inlineStr"/>
      <c r="AE21" s="16" t="inlineStr"/>
      <c r="AF21" s="16" t="inlineStr">
        <is>
          <t>1.0.0</t>
        </is>
      </c>
      <c r="AG21" s="16" t="inlineStr">
        <is>
          <t>ZUBoard 1CG / Basys 3</t>
        </is>
      </c>
      <c r="AH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is>
          <t>Protocol_Compliance</t>
        </is>
      </c>
      <c r="O22" s="16" t="inlineStr">
        <is>
          <t>ALL</t>
        </is>
      </c>
      <c r="P22" s="16" t="inlineStr"/>
      <c r="Q22" s="16" t="inlineStr">
        <is>
          <t>vhdl/buffered_axi_lite_uart.vhd</t>
        </is>
      </c>
      <c r="R22" s="16" t="inlineStr">
        <is>
          <t>RTL</t>
        </is>
      </c>
      <c r="S22" s="16" t="inlineStr">
        <is>
          <t>PASS</t>
        </is>
      </c>
      <c r="T22" s="16" t="inlineStr">
        <is>
          <t>2026-04-16</t>
        </is>
      </c>
      <c r="U22" s="16" t="inlineStr">
        <is>
          <t>39c48ee</t>
        </is>
      </c>
      <c r="V22" s="16" t="inlineStr">
        <is>
          <t>ip/buffered_axi_lite_uart/tb/scripts/vivado/xsim.log</t>
        </is>
      </c>
      <c r="W22" s="16" t="inlineStr">
        <is>
          <t>NOT_RUN</t>
        </is>
      </c>
      <c r="X22" s="16" t="inlineStr"/>
      <c r="AA22" s="16" t="inlineStr"/>
      <c r="AB22" s="17">
        <f>IF(K22="WAIVED","WAIVED",IF(H22="","OPEN",IF(S22="BLOCKED","BLOCKED",IF(S22="FAIL","FAILING",IF(S22="PASS",IF(AA22&lt;&gt;"","AT_RISK",IF(AC22&lt;&gt;"","CLOSED","PASSING")),"COVERED")))))</f>
        <v/>
      </c>
      <c r="AC22" s="16" t="inlineStr"/>
      <c r="AD22" s="16" t="inlineStr"/>
      <c r="AE22" s="16" t="inlineStr"/>
      <c r="AF22" s="16" t="inlineStr">
        <is>
          <t>1.0.0</t>
        </is>
      </c>
      <c r="AG22" s="16" t="inlineStr">
        <is>
          <t>ZUBoard 1CG / Basys 3</t>
        </is>
      </c>
      <c r="AH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is>
          <t>Protocol_Compliance</t>
        </is>
      </c>
      <c r="O23" s="16" t="inlineStr">
        <is>
          <t>ALL</t>
        </is>
      </c>
      <c r="P23" s="16" t="inlineStr"/>
      <c r="Q23" s="16" t="inlineStr">
        <is>
          <t>vhdl/buffered_axi_lite_uart.vhd</t>
        </is>
      </c>
      <c r="R23" s="16" t="inlineStr">
        <is>
          <t>RTL</t>
        </is>
      </c>
      <c r="S23" s="16" t="inlineStr">
        <is>
          <t>PASS</t>
        </is>
      </c>
      <c r="T23" s="16" t="inlineStr">
        <is>
          <t>2026-04-16</t>
        </is>
      </c>
      <c r="U23" s="16" t="inlineStr">
        <is>
          <t>39c48ee</t>
        </is>
      </c>
      <c r="V23" s="16" t="inlineStr">
        <is>
          <t>ip/buffered_axi_lite_uart/tb/scripts/vivado/xsim.log</t>
        </is>
      </c>
      <c r="W23" s="16" t="inlineStr">
        <is>
          <t>NOT_RUN</t>
        </is>
      </c>
      <c r="X23" s="16" t="inlineStr"/>
      <c r="AA23" s="16" t="inlineStr"/>
      <c r="AB23" s="17">
        <f>IF(K23="WAIVED","WAIVED",IF(H23="","OPEN",IF(S23="BLOCKED","BLOCKED",IF(S23="FAIL","FAILING",IF(S23="PASS",IF(AA23&lt;&gt;"","AT_RISK",IF(AC23&lt;&gt;"","CLOSED","PASSING")),"COVERED")))))</f>
        <v/>
      </c>
      <c r="AC23" s="16" t="inlineStr"/>
      <c r="AD23" s="16" t="inlineStr"/>
      <c r="AE23" s="16" t="inlineStr"/>
      <c r="AF23" s="16" t="inlineStr">
        <is>
          <t>1.0.0</t>
        </is>
      </c>
      <c r="AG23" s="16" t="inlineStr">
        <is>
          <t>ZUBoard 1CG / Basys 3</t>
        </is>
      </c>
      <c r="AH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is>
          <t>Protocol_Compliance</t>
        </is>
      </c>
      <c r="O24" s="16" t="inlineStr">
        <is>
          <t>ALL</t>
        </is>
      </c>
      <c r="P24" s="16" t="inlineStr"/>
      <c r="Q24" s="16" t="inlineStr">
        <is>
          <t>vhdl/buffered_axi_lite_uart.vhd</t>
        </is>
      </c>
      <c r="R24" s="16" t="inlineStr">
        <is>
          <t>RTL</t>
        </is>
      </c>
      <c r="S24" s="16" t="inlineStr">
        <is>
          <t>PASS</t>
        </is>
      </c>
      <c r="T24" s="16" t="inlineStr">
        <is>
          <t>2026-04-16</t>
        </is>
      </c>
      <c r="U24" s="16" t="inlineStr">
        <is>
          <t>39c48ee</t>
        </is>
      </c>
      <c r="V24" s="16" t="inlineStr">
        <is>
          <t>ip/buffered_axi_lite_uart/tb/scripts/vivado/xsim.log</t>
        </is>
      </c>
      <c r="W24" s="16" t="inlineStr">
        <is>
          <t>NOT_RUN</t>
        </is>
      </c>
      <c r="X24" s="16" t="inlineStr"/>
      <c r="AA24" s="16" t="inlineStr"/>
      <c r="AB24" s="17">
        <f>IF(K24="WAIVED","WAIVED",IF(H24="","OPEN",IF(S24="BLOCKED","BLOCKED",IF(S24="FAIL","FAILING",IF(S24="PASS",IF(AA24&lt;&gt;"","AT_RISK",IF(AC24&lt;&gt;"","CLOSED","PASSING")),"COVERED")))))</f>
        <v/>
      </c>
      <c r="AC24" s="16" t="inlineStr"/>
      <c r="AD24" s="16" t="inlineStr"/>
      <c r="AE24" s="16" t="inlineStr"/>
      <c r="AF24" s="16" t="inlineStr">
        <is>
          <t>1.0.0</t>
        </is>
      </c>
      <c r="AG24" s="16" t="inlineStr">
        <is>
          <t>ZUBoard 1CG / Basys 3</t>
        </is>
      </c>
      <c r="AH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is>
          <t>Protocol_Compliance</t>
        </is>
      </c>
      <c r="O25" s="16" t="inlineStr">
        <is>
          <t>ALL</t>
        </is>
      </c>
      <c r="P25" s="16" t="inlineStr"/>
      <c r="Q25" s="16" t="inlineStr">
        <is>
          <t>vhdl/buffered_axi_lite_uart.vhd</t>
        </is>
      </c>
      <c r="R25" s="16" t="inlineStr">
        <is>
          <t>RTL</t>
        </is>
      </c>
      <c r="S25" s="16" t="inlineStr">
        <is>
          <t>PASS</t>
        </is>
      </c>
      <c r="T25" s="16" t="inlineStr">
        <is>
          <t>2026-04-16</t>
        </is>
      </c>
      <c r="U25" s="16" t="inlineStr">
        <is>
          <t>39c48ee</t>
        </is>
      </c>
      <c r="V25" s="16" t="inlineStr">
        <is>
          <t>ip/buffered_axi_lite_uart/tb/scripts/vivado/xsim.log</t>
        </is>
      </c>
      <c r="W25" s="16" t="inlineStr">
        <is>
          <t>NOT_RUN</t>
        </is>
      </c>
      <c r="X25" s="16" t="inlineStr"/>
      <c r="AA25" s="16" t="inlineStr"/>
      <c r="AB25" s="17">
        <f>IF(K25="WAIVED","WAIVED",IF(H25="","OPEN",IF(S25="BLOCKED","BLOCKED",IF(S25="FAIL","FAILING",IF(S25="PASS",IF(AA25&lt;&gt;"","AT_RISK",IF(AC25&lt;&gt;"","CLOSED","PASSING")),"COVERED")))))</f>
        <v/>
      </c>
      <c r="AC25" s="16" t="inlineStr"/>
      <c r="AD25" s="16" t="inlineStr"/>
      <c r="AE25" s="16" t="inlineStr"/>
      <c r="AF25" s="16" t="inlineStr">
        <is>
          <t>1.0.0</t>
        </is>
      </c>
      <c r="AG25" s="16" t="inlineStr">
        <is>
          <t>ZUBoard 1CG / Basys 3</t>
        </is>
      </c>
      <c r="AH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is>
          <t>Protocol_Compliance</t>
        </is>
      </c>
      <c r="O26" s="16" t="inlineStr">
        <is>
          <t>ALL</t>
        </is>
      </c>
      <c r="P26" s="16" t="inlineStr"/>
      <c r="Q26" s="16" t="inlineStr">
        <is>
          <t>vhdl/buffered_axi_lite_uart.vhd</t>
        </is>
      </c>
      <c r="R26" s="16" t="inlineStr">
        <is>
          <t>RTL</t>
        </is>
      </c>
      <c r="S26" s="16" t="inlineStr">
        <is>
          <t>PASS</t>
        </is>
      </c>
      <c r="T26" s="16" t="inlineStr">
        <is>
          <t>2026-04-16</t>
        </is>
      </c>
      <c r="U26" s="16" t="inlineStr">
        <is>
          <t>39c48ee</t>
        </is>
      </c>
      <c r="V26" s="16" t="inlineStr">
        <is>
          <t>ip/buffered_axi_lite_uart/tb/scripts/vivado/xsim.log</t>
        </is>
      </c>
      <c r="W26" s="16" t="inlineStr">
        <is>
          <t>NOT_RUN</t>
        </is>
      </c>
      <c r="X26" s="16" t="inlineStr"/>
      <c r="AA26" s="16" t="inlineStr"/>
      <c r="AB26" s="17">
        <f>IF(K26="WAIVED","WAIVED",IF(H26="","OPEN",IF(S26="BLOCKED","BLOCKED",IF(S26="FAIL","FAILING",IF(S26="PASS",IF(AA26&lt;&gt;"","AT_RISK",IF(AC26&lt;&gt;"","CLOSED","PASSING")),"COVERED")))))</f>
        <v/>
      </c>
      <c r="AC26" s="16" t="inlineStr"/>
      <c r="AD26" s="16" t="inlineStr"/>
      <c r="AE26" s="16" t="inlineStr"/>
      <c r="AF26" s="16" t="inlineStr">
        <is>
          <t>1.0.0</t>
        </is>
      </c>
      <c r="AG26" s="16" t="inlineStr">
        <is>
          <t>ZUBoard 1CG / Basys 3</t>
        </is>
      </c>
      <c r="AH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is>
          <t>Functional</t>
        </is>
      </c>
      <c r="O27" s="16" t="inlineStr">
        <is>
          <t>ALL</t>
        </is>
      </c>
      <c r="P27" s="16" t="inlineStr"/>
      <c r="Q27" s="16" t="inlineStr">
        <is>
          <t>vhdl/buffered_axi_lite_uart.vhd</t>
        </is>
      </c>
      <c r="R27" s="16" t="inlineStr">
        <is>
          <t>RTL</t>
        </is>
      </c>
      <c r="S27" s="16" t="inlineStr">
        <is>
          <t>PASS</t>
        </is>
      </c>
      <c r="T27" s="16" t="inlineStr">
        <is>
          <t>2026-04-16</t>
        </is>
      </c>
      <c r="U27" s="16" t="inlineStr">
        <is>
          <t>39c48ee</t>
        </is>
      </c>
      <c r="V27" s="16" t="inlineStr">
        <is>
          <t>ip/buffered_axi_lite_uart/tb/scripts/vivado/xsim.log</t>
        </is>
      </c>
      <c r="W27" s="16" t="inlineStr">
        <is>
          <t>NOT_RUN</t>
        </is>
      </c>
      <c r="X27" s="16" t="inlineStr"/>
      <c r="AA27" s="16" t="inlineStr"/>
      <c r="AB27" s="17">
        <f>IF(K27="WAIVED","WAIVED",IF(H27="","OPEN",IF(S27="BLOCKED","BLOCKED",IF(S27="FAIL","FAILING",IF(S27="PASS",IF(AA27&lt;&gt;"","AT_RISK",IF(AC27&lt;&gt;"","CLOSED","PASSING")),"COVERED")))))</f>
        <v/>
      </c>
      <c r="AC27" s="16" t="inlineStr"/>
      <c r="AD27" s="16" t="inlineStr"/>
      <c r="AE27" s="16" t="inlineStr"/>
      <c r="AF27" s="16" t="inlineStr">
        <is>
          <t>1.0.0</t>
        </is>
      </c>
      <c r="AG27" s="16" t="inlineStr">
        <is>
          <t>ZUBoard 1CG / Basys 3</t>
        </is>
      </c>
      <c r="AH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is>
          <t>Functional</t>
        </is>
      </c>
      <c r="O28" s="16" t="inlineStr">
        <is>
          <t>ALL</t>
        </is>
      </c>
      <c r="P28" s="16" t="inlineStr"/>
      <c r="Q28" s="16" t="inlineStr">
        <is>
          <t>vhdl/buffered_axi_lite_uart.vhd</t>
        </is>
      </c>
      <c r="R28" s="16" t="inlineStr">
        <is>
          <t>RTL</t>
        </is>
      </c>
      <c r="S28" s="16" t="inlineStr">
        <is>
          <t>PASS</t>
        </is>
      </c>
      <c r="T28" s="16" t="inlineStr">
        <is>
          <t>2026-04-16</t>
        </is>
      </c>
      <c r="U28" s="16" t="inlineStr">
        <is>
          <t>39c48ee</t>
        </is>
      </c>
      <c r="V28" s="16" t="inlineStr">
        <is>
          <t>ip/buffered_axi_lite_uart/tb/scripts/vivado/xsim.log</t>
        </is>
      </c>
      <c r="W28" s="16" t="inlineStr">
        <is>
          <t>NOT_RUN</t>
        </is>
      </c>
      <c r="X28" s="16" t="inlineStr"/>
      <c r="AA28" s="16" t="inlineStr"/>
      <c r="AB28" s="17">
        <f>IF(K28="WAIVED","WAIVED",IF(H28="","OPEN",IF(S28="BLOCKED","BLOCKED",IF(S28="FAIL","FAILING",IF(S28="PASS",IF(AA28&lt;&gt;"","AT_RISK",IF(AC28&lt;&gt;"","CLOSED","PASSING")),"COVERED")))))</f>
        <v/>
      </c>
      <c r="AC28" s="16" t="inlineStr"/>
      <c r="AD28" s="16" t="inlineStr"/>
      <c r="AE28" s="16" t="inlineStr"/>
      <c r="AF28" s="16" t="inlineStr">
        <is>
          <t>1.0.0</t>
        </is>
      </c>
      <c r="AG28" s="16" t="inlineStr">
        <is>
          <t>ZUBoard 1CG / Basys 3</t>
        </is>
      </c>
      <c r="AH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is>
          <t>Functional</t>
        </is>
      </c>
      <c r="O29" s="16" t="inlineStr">
        <is>
          <t>ALL</t>
        </is>
      </c>
      <c r="P29" s="16" t="inlineStr"/>
      <c r="Q29" s="16" t="inlineStr">
        <is>
          <t>vhdl/buffered_axi_lite_uart.vhd</t>
        </is>
      </c>
      <c r="R29" s="16" t="inlineStr">
        <is>
          <t>RTL</t>
        </is>
      </c>
      <c r="S29" s="16" t="inlineStr">
        <is>
          <t>PASS</t>
        </is>
      </c>
      <c r="T29" s="16" t="inlineStr">
        <is>
          <t>2026-04-16</t>
        </is>
      </c>
      <c r="U29" s="16" t="inlineStr">
        <is>
          <t>39c48ee</t>
        </is>
      </c>
      <c r="V29" s="16" t="inlineStr">
        <is>
          <t>ip/buffered_axi_lite_uart/tb/scripts/vivado/xsim.log</t>
        </is>
      </c>
      <c r="W29" s="16" t="inlineStr">
        <is>
          <t>NOT_RUN</t>
        </is>
      </c>
      <c r="X29" s="16" t="inlineStr"/>
      <c r="AA29" s="16" t="inlineStr"/>
      <c r="AB29" s="17">
        <f>IF(K29="WAIVED","WAIVED",IF(H29="","OPEN",IF(S29="BLOCKED","BLOCKED",IF(S29="FAIL","FAILING",IF(S29="PASS",IF(AA29&lt;&gt;"","AT_RISK",IF(AC29&lt;&gt;"","CLOSED","PASSING")),"COVERED")))))</f>
        <v/>
      </c>
      <c r="AC29" s="16" t="inlineStr"/>
      <c r="AD29" s="16" t="inlineStr"/>
      <c r="AE29" s="16" t="inlineStr"/>
      <c r="AF29" s="16" t="inlineStr">
        <is>
          <t>1.0.0</t>
        </is>
      </c>
      <c r="AG29" s="16" t="inlineStr">
        <is>
          <t>ZUBoard 1CG / Basys 3</t>
        </is>
      </c>
      <c r="AH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is>
          <t>Functional</t>
        </is>
      </c>
      <c r="O30" s="16" t="inlineStr">
        <is>
          <t>ALL</t>
        </is>
      </c>
      <c r="P30" s="16" t="inlineStr"/>
      <c r="Q30" s="16" t="inlineStr">
        <is>
          <t>vhdl/buffered_axi_lite_uart.vhd</t>
        </is>
      </c>
      <c r="R30" s="16" t="inlineStr">
        <is>
          <t>RTL</t>
        </is>
      </c>
      <c r="S30" s="16" t="inlineStr">
        <is>
          <t>PASS</t>
        </is>
      </c>
      <c r="T30" s="16" t="inlineStr">
        <is>
          <t>2026-04-16</t>
        </is>
      </c>
      <c r="U30" s="16" t="inlineStr">
        <is>
          <t>39c48ee</t>
        </is>
      </c>
      <c r="V30" s="16" t="inlineStr">
        <is>
          <t>ip/buffered_axi_lite_uart/tb/scripts/vivado/xsim.log</t>
        </is>
      </c>
      <c r="W30" s="16" t="inlineStr">
        <is>
          <t>NOT_RUN</t>
        </is>
      </c>
      <c r="X30" s="16" t="inlineStr"/>
      <c r="AA30" s="16" t="inlineStr"/>
      <c r="AB30" s="17">
        <f>IF(K30="WAIVED","WAIVED",IF(H30="","OPEN",IF(S30="BLOCKED","BLOCKED",IF(S30="FAIL","FAILING",IF(S30="PASS",IF(AA30&lt;&gt;"","AT_RISK",IF(AC30&lt;&gt;"","CLOSED","PASSING")),"COVERED")))))</f>
        <v/>
      </c>
      <c r="AC30" s="16" t="inlineStr"/>
      <c r="AD30" s="16" t="inlineStr"/>
      <c r="AE30" s="16" t="inlineStr"/>
      <c r="AF30" s="16" t="inlineStr">
        <is>
          <t>1.0.0</t>
        </is>
      </c>
      <c r="AG30" s="16" t="inlineStr">
        <is>
          <t>ZUBoard 1CG / Basys 3</t>
        </is>
      </c>
      <c r="AH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is>
          <t>Functional</t>
        </is>
      </c>
      <c r="O31" s="16" t="inlineStr">
        <is>
          <t>ALL</t>
        </is>
      </c>
      <c r="P31" s="16" t="inlineStr"/>
      <c r="Q31" s="16" t="inlineStr">
        <is>
          <t>vhdl/buffered_axi_lite_uart.vhd</t>
        </is>
      </c>
      <c r="R31" s="16" t="inlineStr">
        <is>
          <t>RTL</t>
        </is>
      </c>
      <c r="S31" s="16" t="inlineStr">
        <is>
          <t>PASS</t>
        </is>
      </c>
      <c r="T31" s="16" t="inlineStr">
        <is>
          <t>2026-04-16</t>
        </is>
      </c>
      <c r="U31" s="16" t="inlineStr">
        <is>
          <t>39c48ee</t>
        </is>
      </c>
      <c r="V31" s="16" t="inlineStr">
        <is>
          <t>ip/buffered_axi_lite_uart/tb/scripts/vivado/xsim.log</t>
        </is>
      </c>
      <c r="W31" s="16" t="inlineStr">
        <is>
          <t>NOT_RUN</t>
        </is>
      </c>
      <c r="X31" s="16" t="inlineStr"/>
      <c r="AA31" s="16" t="inlineStr"/>
      <c r="AB31" s="17">
        <f>IF(K31="WAIVED","WAIVED",IF(H31="","OPEN",IF(S31="BLOCKED","BLOCKED",IF(S31="FAIL","FAILING",IF(S31="PASS",IF(AA31&lt;&gt;"","AT_RISK",IF(AC31&lt;&gt;"","CLOSED","PASSING")),"COVERED")))))</f>
        <v/>
      </c>
      <c r="AC31" s="16" t="inlineStr"/>
      <c r="AD31" s="16" t="inlineStr"/>
      <c r="AE31" s="16" t="inlineStr"/>
      <c r="AF31" s="16" t="inlineStr">
        <is>
          <t>1.0.0</t>
        </is>
      </c>
      <c r="AG31" s="16" t="inlineStr">
        <is>
          <t>ZUBoard 1CG / Basys 3</t>
        </is>
      </c>
      <c r="AH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is>
          <t>Functional</t>
        </is>
      </c>
      <c r="O32" s="16" t="inlineStr">
        <is>
          <t>ALL</t>
        </is>
      </c>
      <c r="P32" s="16" t="inlineStr"/>
      <c r="Q32" s="16" t="inlineStr">
        <is>
          <t>vhdl/buffered_axi_lite_uart.vhd</t>
        </is>
      </c>
      <c r="R32" s="16" t="inlineStr">
        <is>
          <t>RTL</t>
        </is>
      </c>
      <c r="S32" s="16" t="inlineStr">
        <is>
          <t>PASS</t>
        </is>
      </c>
      <c r="T32" s="16" t="inlineStr">
        <is>
          <t>2026-04-16</t>
        </is>
      </c>
      <c r="U32" s="16" t="inlineStr">
        <is>
          <t>39c48ee</t>
        </is>
      </c>
      <c r="V32" s="16" t="inlineStr">
        <is>
          <t>ip/buffered_axi_lite_uart/tb/scripts/vivado/xsim.log</t>
        </is>
      </c>
      <c r="W32" s="16" t="inlineStr">
        <is>
          <t>NOT_RUN</t>
        </is>
      </c>
      <c r="X32" s="16" t="inlineStr"/>
      <c r="AA32" s="16" t="inlineStr"/>
      <c r="AB32" s="17">
        <f>IF(K32="WAIVED","WAIVED",IF(H32="","OPEN",IF(S32="BLOCKED","BLOCKED",IF(S32="FAIL","FAILING",IF(S32="PASS",IF(AA32&lt;&gt;"","AT_RISK",IF(AC32&lt;&gt;"","CLOSED","PASSING")),"COVERED")))))</f>
        <v/>
      </c>
      <c r="AC32" s="16" t="inlineStr"/>
      <c r="AD32" s="16" t="inlineStr"/>
      <c r="AE32" s="16" t="inlineStr"/>
      <c r="AF32" s="16" t="inlineStr">
        <is>
          <t>1.0.0</t>
        </is>
      </c>
      <c r="AG32" s="16" t="inlineStr">
        <is>
          <t>ZUBoard 1CG / Basys 3</t>
        </is>
      </c>
      <c r="AH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is>
          <t>Functional</t>
        </is>
      </c>
      <c r="O33" s="16" t="inlineStr">
        <is>
          <t>ALL</t>
        </is>
      </c>
      <c r="P33" s="16" t="inlineStr"/>
      <c r="Q33" s="16" t="inlineStr">
        <is>
          <t>vhdl/buffered_axi_lite_uart.vhd</t>
        </is>
      </c>
      <c r="R33" s="16" t="inlineStr">
        <is>
          <t>RTL</t>
        </is>
      </c>
      <c r="S33" s="16" t="inlineStr">
        <is>
          <t>PASS</t>
        </is>
      </c>
      <c r="T33" s="16" t="inlineStr">
        <is>
          <t>2026-04-16</t>
        </is>
      </c>
      <c r="U33" s="16" t="inlineStr">
        <is>
          <t>39c48ee</t>
        </is>
      </c>
      <c r="V33" s="16" t="inlineStr">
        <is>
          <t>ip/buffered_axi_lite_uart/tb/scripts/vivado/xsim.log</t>
        </is>
      </c>
      <c r="W33" s="16" t="inlineStr">
        <is>
          <t>NOT_RUN</t>
        </is>
      </c>
      <c r="X33" s="16" t="inlineStr"/>
      <c r="AA33" s="16" t="inlineStr"/>
      <c r="AB33" s="17">
        <f>IF(K33="WAIVED","WAIVED",IF(H33="","OPEN",IF(S33="BLOCKED","BLOCKED",IF(S33="FAIL","FAILING",IF(S33="PASS",IF(AA33&lt;&gt;"","AT_RISK",IF(AC33&lt;&gt;"","CLOSED","PASSING")),"COVERED")))))</f>
        <v/>
      </c>
      <c r="AC33" s="16" t="inlineStr"/>
      <c r="AD33" s="16" t="inlineStr"/>
      <c r="AE33" s="16" t="inlineStr"/>
      <c r="AF33" s="16" t="inlineStr">
        <is>
          <t>1.0.0</t>
        </is>
      </c>
      <c r="AG33" s="16" t="inlineStr">
        <is>
          <t>ZUBoard 1CG / Basys 3</t>
        </is>
      </c>
      <c r="AH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is>
          <t>Functional</t>
        </is>
      </c>
      <c r="O34" s="16" t="inlineStr">
        <is>
          <t>ALL</t>
        </is>
      </c>
      <c r="P34" s="16" t="inlineStr"/>
      <c r="Q34" s="16" t="inlineStr">
        <is>
          <t>vhdl/buffered_axi_lite_uart.vhd</t>
        </is>
      </c>
      <c r="R34" s="16" t="inlineStr">
        <is>
          <t>RTL</t>
        </is>
      </c>
      <c r="S34" s="16" t="inlineStr">
        <is>
          <t>PASS</t>
        </is>
      </c>
      <c r="T34" s="16" t="inlineStr">
        <is>
          <t>2026-04-16</t>
        </is>
      </c>
      <c r="U34" s="16" t="inlineStr">
        <is>
          <t>39c48ee</t>
        </is>
      </c>
      <c r="V34" s="16" t="inlineStr">
        <is>
          <t>ip/buffered_axi_lite_uart/tb/scripts/vivado/xsim.log</t>
        </is>
      </c>
      <c r="W34" s="16" t="inlineStr">
        <is>
          <t>NOT_RUN</t>
        </is>
      </c>
      <c r="X34" s="16" t="inlineStr"/>
      <c r="AA34" s="16" t="inlineStr"/>
      <c r="AB34" s="17">
        <f>IF(K34="WAIVED","WAIVED",IF(H34="","OPEN",IF(S34="BLOCKED","BLOCKED",IF(S34="FAIL","FAILING",IF(S34="PASS",IF(AA34&lt;&gt;"","AT_RISK",IF(AC34&lt;&gt;"","CLOSED","PASSING")),"COVERED")))))</f>
        <v/>
      </c>
      <c r="AC34" s="16" t="inlineStr"/>
      <c r="AD34" s="16" t="inlineStr"/>
      <c r="AE34" s="16" t="inlineStr"/>
      <c r="AF34" s="16" t="inlineStr">
        <is>
          <t>1.0.0</t>
        </is>
      </c>
      <c r="AG34" s="16" t="inlineStr">
        <is>
          <t>ZUBoard 1CG / Basys 3</t>
        </is>
      </c>
      <c r="AH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is>
          <t>Functional</t>
        </is>
      </c>
      <c r="O35" s="16" t="inlineStr">
        <is>
          <t>ALL</t>
        </is>
      </c>
      <c r="P35" s="16" t="inlineStr"/>
      <c r="Q35" s="16" t="inlineStr">
        <is>
          <t>vhdl/buffered_axi_lite_uart.vhd</t>
        </is>
      </c>
      <c r="R35" s="16" t="inlineStr">
        <is>
          <t>RTL</t>
        </is>
      </c>
      <c r="S35" s="16" t="inlineStr">
        <is>
          <t>PASS</t>
        </is>
      </c>
      <c r="T35" s="16" t="inlineStr">
        <is>
          <t>2026-04-16</t>
        </is>
      </c>
      <c r="U35" s="16" t="inlineStr">
        <is>
          <t>39c48ee</t>
        </is>
      </c>
      <c r="V35" s="16" t="inlineStr">
        <is>
          <t>ip/buffered_axi_lite_uart/tb/scripts/vivado/xsim.log</t>
        </is>
      </c>
      <c r="W35" s="16" t="inlineStr">
        <is>
          <t>NOT_RUN</t>
        </is>
      </c>
      <c r="X35" s="16" t="inlineStr"/>
      <c r="AA35" s="16" t="inlineStr"/>
      <c r="AB35" s="17">
        <f>IF(K35="WAIVED","WAIVED",IF(H35="","OPEN",IF(S35="BLOCKED","BLOCKED",IF(S35="FAIL","FAILING",IF(S35="PASS",IF(AA35&lt;&gt;"","AT_RISK",IF(AC35&lt;&gt;"","CLOSED","PASSING")),"COVERED")))))</f>
        <v/>
      </c>
      <c r="AC35" s="16" t="inlineStr"/>
      <c r="AD35" s="16" t="inlineStr"/>
      <c r="AE35" s="16" t="inlineStr"/>
      <c r="AF35" s="16" t="inlineStr">
        <is>
          <t>1.0.0</t>
        </is>
      </c>
      <c r="AG35" s="16" t="inlineStr">
        <is>
          <t>ZUBoard 1CG / Basys 3</t>
        </is>
      </c>
      <c r="AH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is>
          <t>Functional</t>
        </is>
      </c>
      <c r="O36" s="16" t="inlineStr">
        <is>
          <t>ALL</t>
        </is>
      </c>
      <c r="P36" s="16" t="inlineStr"/>
      <c r="Q36" s="16" t="inlineStr">
        <is>
          <t>vhdl/buffered_axi_lite_uart.vhd</t>
        </is>
      </c>
      <c r="R36" s="16" t="inlineStr">
        <is>
          <t>RTL</t>
        </is>
      </c>
      <c r="S36" s="16" t="inlineStr">
        <is>
          <t>PASS</t>
        </is>
      </c>
      <c r="T36" s="16" t="inlineStr">
        <is>
          <t>2026-04-16</t>
        </is>
      </c>
      <c r="U36" s="16" t="inlineStr">
        <is>
          <t>39c48ee</t>
        </is>
      </c>
      <c r="V36" s="16" t="inlineStr">
        <is>
          <t>ip/buffered_axi_lite_uart/tb/scripts/vivado/xsim.log</t>
        </is>
      </c>
      <c r="W36" s="16" t="inlineStr">
        <is>
          <t>NOT_RUN</t>
        </is>
      </c>
      <c r="X36" s="16" t="inlineStr"/>
      <c r="AA36" s="16" t="inlineStr"/>
      <c r="AB36" s="17">
        <f>IF(K36="WAIVED","WAIVED",IF(H36="","OPEN",IF(S36="BLOCKED","BLOCKED",IF(S36="FAIL","FAILING",IF(S36="PASS",IF(AA36&lt;&gt;"","AT_RISK",IF(AC36&lt;&gt;"","CLOSED","PASSING")),"COVERED")))))</f>
        <v/>
      </c>
      <c r="AC36" s="16" t="inlineStr"/>
      <c r="AD36" s="16" t="inlineStr"/>
      <c r="AE36" s="16" t="inlineStr"/>
      <c r="AF36" s="16" t="inlineStr">
        <is>
          <t>1.0.0</t>
        </is>
      </c>
      <c r="AG36" s="16" t="inlineStr">
        <is>
          <t>ZUBoard 1CG / Basys 3</t>
        </is>
      </c>
      <c r="AH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is>
          <t>Functional</t>
        </is>
      </c>
      <c r="O37" s="16" t="inlineStr">
        <is>
          <t>ALL</t>
        </is>
      </c>
      <c r="P37" s="16" t="inlineStr"/>
      <c r="Q37" s="16" t="inlineStr">
        <is>
          <t>vhdl/buffered_axi_lite_uart.vhd</t>
        </is>
      </c>
      <c r="R37" s="16" t="inlineStr">
        <is>
          <t>RTL</t>
        </is>
      </c>
      <c r="S37" s="16" t="inlineStr">
        <is>
          <t>PASS</t>
        </is>
      </c>
      <c r="T37" s="16" t="inlineStr">
        <is>
          <t>2026-04-16</t>
        </is>
      </c>
      <c r="U37" s="16" t="inlineStr">
        <is>
          <t>39c48ee</t>
        </is>
      </c>
      <c r="V37" s="16" t="inlineStr">
        <is>
          <t>ip/buffered_axi_lite_uart/tb/scripts/vivado/xsim.log</t>
        </is>
      </c>
      <c r="W37" s="16" t="inlineStr">
        <is>
          <t>NOT_RUN</t>
        </is>
      </c>
      <c r="X37" s="16" t="inlineStr"/>
      <c r="AA37" s="16" t="inlineStr"/>
      <c r="AB37" s="17">
        <f>IF(K37="WAIVED","WAIVED",IF(H37="","OPEN",IF(S37="BLOCKED","BLOCKED",IF(S37="FAIL","FAILING",IF(S37="PASS",IF(AA37&lt;&gt;"","AT_RISK",IF(AC37&lt;&gt;"","CLOSED","PASSING")),"COVERED")))))</f>
        <v/>
      </c>
      <c r="AC37" s="16" t="inlineStr"/>
      <c r="AD37" s="16" t="inlineStr"/>
      <c r="AE37" s="16" t="inlineStr"/>
      <c r="AF37" s="16" t="inlineStr">
        <is>
          <t>1.0.0</t>
        </is>
      </c>
      <c r="AG37" s="16" t="inlineStr">
        <is>
          <t>ZUBoard 1CG / Basys 3</t>
        </is>
      </c>
      <c r="AH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is>
          <t>Functional</t>
        </is>
      </c>
      <c r="O38" s="16" t="inlineStr">
        <is>
          <t>ALL</t>
        </is>
      </c>
      <c r="P38" s="16" t="inlineStr"/>
      <c r="Q38" s="16" t="inlineStr">
        <is>
          <t>vhdl/buffered_axi_lite_uart.vhd</t>
        </is>
      </c>
      <c r="R38" s="16" t="inlineStr">
        <is>
          <t>RTL</t>
        </is>
      </c>
      <c r="S38" s="16" t="inlineStr">
        <is>
          <t>PASS</t>
        </is>
      </c>
      <c r="T38" s="16" t="inlineStr">
        <is>
          <t>2026-04-16</t>
        </is>
      </c>
      <c r="U38" s="16" t="inlineStr">
        <is>
          <t>39c48ee</t>
        </is>
      </c>
      <c r="V38" s="16" t="inlineStr">
        <is>
          <t>ip/buffered_axi_lite_uart/tb/scripts/vivado/xsim.log</t>
        </is>
      </c>
      <c r="W38" s="16" t="inlineStr">
        <is>
          <t>NOT_RUN</t>
        </is>
      </c>
      <c r="X38" s="16" t="inlineStr"/>
      <c r="AA38" s="16" t="inlineStr"/>
      <c r="AB38" s="17">
        <f>IF(K38="WAIVED","WAIVED",IF(H38="","OPEN",IF(S38="BLOCKED","BLOCKED",IF(S38="FAIL","FAILING",IF(S38="PASS",IF(AA38&lt;&gt;"","AT_RISK",IF(AC38&lt;&gt;"","CLOSED","PASSING")),"COVERED")))))</f>
        <v/>
      </c>
      <c r="AC38" s="16" t="inlineStr"/>
      <c r="AD38" s="16" t="inlineStr"/>
      <c r="AE38" s="16" t="inlineStr"/>
      <c r="AF38" s="16" t="inlineStr">
        <is>
          <t>1.0.0</t>
        </is>
      </c>
      <c r="AG38" s="16" t="inlineStr">
        <is>
          <t>ZUBoard 1CG / Basys 3</t>
        </is>
      </c>
      <c r="AH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is>
          <t>Functional</t>
        </is>
      </c>
      <c r="O39" s="16" t="inlineStr">
        <is>
          <t>ALL</t>
        </is>
      </c>
      <c r="P39" s="16" t="inlineStr"/>
      <c r="Q39" s="16" t="inlineStr">
        <is>
          <t>vhdl/buffered_axi_lite_uart.vhd</t>
        </is>
      </c>
      <c r="R39" s="16" t="inlineStr">
        <is>
          <t>RTL</t>
        </is>
      </c>
      <c r="S39" s="16" t="inlineStr">
        <is>
          <t>PASS</t>
        </is>
      </c>
      <c r="T39" s="16" t="inlineStr">
        <is>
          <t>2026-04-16</t>
        </is>
      </c>
      <c r="U39" s="16" t="inlineStr">
        <is>
          <t>39c48ee</t>
        </is>
      </c>
      <c r="V39" s="16" t="inlineStr">
        <is>
          <t>ip/buffered_axi_lite_uart/tb/scripts/vivado/xsim.log</t>
        </is>
      </c>
      <c r="W39" s="16" t="inlineStr">
        <is>
          <t>NOT_RUN</t>
        </is>
      </c>
      <c r="X39" s="16" t="inlineStr"/>
      <c r="AA39" s="16" t="inlineStr"/>
      <c r="AB39" s="17">
        <f>IF(K39="WAIVED","WAIVED",IF(H39="","OPEN",IF(S39="BLOCKED","BLOCKED",IF(S39="FAIL","FAILING",IF(S39="PASS",IF(AA39&lt;&gt;"","AT_RISK",IF(AC39&lt;&gt;"","CLOSED","PASSING")),"COVERED")))))</f>
        <v/>
      </c>
      <c r="AC39" s="16" t="inlineStr"/>
      <c r="AD39" s="16" t="inlineStr"/>
      <c r="AE39" s="16" t="inlineStr"/>
      <c r="AF39" s="16" t="inlineStr">
        <is>
          <t>1.0.0</t>
        </is>
      </c>
      <c r="AG39" s="16" t="inlineStr">
        <is>
          <t>ZUBoard 1CG / Basys 3</t>
        </is>
      </c>
      <c r="AH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is>
          <t>Functional</t>
        </is>
      </c>
      <c r="O40" s="16" t="inlineStr">
        <is>
          <t>ALL</t>
        </is>
      </c>
      <c r="P40" s="16" t="inlineStr"/>
      <c r="Q40" s="16" t="inlineStr">
        <is>
          <t>vhdl/buffered_axi_lite_uart.vhd</t>
        </is>
      </c>
      <c r="R40" s="16" t="inlineStr">
        <is>
          <t>RTL</t>
        </is>
      </c>
      <c r="S40" s="16" t="inlineStr">
        <is>
          <t>PASS</t>
        </is>
      </c>
      <c r="T40" s="16" t="inlineStr">
        <is>
          <t>2026-04-16</t>
        </is>
      </c>
      <c r="U40" s="16" t="inlineStr">
        <is>
          <t>39c48ee</t>
        </is>
      </c>
      <c r="V40" s="16" t="inlineStr">
        <is>
          <t>ip/buffered_axi_lite_uart/tb/scripts/vivado/xsim.log</t>
        </is>
      </c>
      <c r="W40" s="16" t="inlineStr">
        <is>
          <t>NOT_RUN</t>
        </is>
      </c>
      <c r="X40" s="16" t="inlineStr"/>
      <c r="AA40" s="16" t="inlineStr"/>
      <c r="AB40" s="17">
        <f>IF(K40="WAIVED","WAIVED",IF(H40="","OPEN",IF(S40="BLOCKED","BLOCKED",IF(S40="FAIL","FAILING",IF(S40="PASS",IF(AA40&lt;&gt;"","AT_RISK",IF(AC40&lt;&gt;"","CLOSED","PASSING")),"COVERED")))))</f>
        <v/>
      </c>
      <c r="AC40" s="16" t="inlineStr"/>
      <c r="AD40" s="16" t="inlineStr"/>
      <c r="AE40" s="16" t="inlineStr"/>
      <c r="AF40" s="16" t="inlineStr">
        <is>
          <t>1.0.0</t>
        </is>
      </c>
      <c r="AG40" s="16" t="inlineStr">
        <is>
          <t>ZUBoard 1CG / Basys 3</t>
        </is>
      </c>
      <c r="AH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is>
          <t>Functional</t>
        </is>
      </c>
      <c r="O41" s="16" t="inlineStr">
        <is>
          <t>ALL</t>
        </is>
      </c>
      <c r="P41" s="16" t="inlineStr"/>
      <c r="Q41" s="16" t="inlineStr">
        <is>
          <t>vhdl/buffered_axi_lite_uart.vhd</t>
        </is>
      </c>
      <c r="R41" s="16" t="inlineStr">
        <is>
          <t>RTL</t>
        </is>
      </c>
      <c r="S41" s="16" t="inlineStr">
        <is>
          <t>PASS</t>
        </is>
      </c>
      <c r="T41" s="16" t="inlineStr">
        <is>
          <t>2026-04-16</t>
        </is>
      </c>
      <c r="U41" s="16" t="inlineStr">
        <is>
          <t>39c48ee</t>
        </is>
      </c>
      <c r="V41" s="16" t="inlineStr">
        <is>
          <t>ip/buffered_axi_lite_uart/tb/scripts/vivado/xsim.log</t>
        </is>
      </c>
      <c r="W41" s="16" t="inlineStr">
        <is>
          <t>NOT_RUN</t>
        </is>
      </c>
      <c r="X41" s="16" t="inlineStr"/>
      <c r="AA41" s="16" t="inlineStr"/>
      <c r="AB41" s="17">
        <f>IF(K41="WAIVED","WAIVED",IF(H41="","OPEN",IF(S41="BLOCKED","BLOCKED",IF(S41="FAIL","FAILING",IF(S41="PASS",IF(AA41&lt;&gt;"","AT_RISK",IF(AC41&lt;&gt;"","CLOSED","PASSING")),"COVERED")))))</f>
        <v/>
      </c>
      <c r="AC41" s="16" t="inlineStr"/>
      <c r="AD41" s="16" t="inlineStr"/>
      <c r="AE41" s="16" t="inlineStr"/>
      <c r="AF41" s="16" t="inlineStr">
        <is>
          <t>1.0.0</t>
        </is>
      </c>
      <c r="AG41" s="16" t="inlineStr">
        <is>
          <t>ZUBoard 1CG / Basys 3</t>
        </is>
      </c>
      <c r="AH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is>
          <t>Functional</t>
        </is>
      </c>
      <c r="O42" s="16" t="inlineStr">
        <is>
          <t>ALL</t>
        </is>
      </c>
      <c r="P42" s="16" t="inlineStr"/>
      <c r="Q42" s="16" t="inlineStr">
        <is>
          <t>vhdl/buffered_axi_lite_uart.vhd</t>
        </is>
      </c>
      <c r="R42" s="16" t="inlineStr">
        <is>
          <t>RTL</t>
        </is>
      </c>
      <c r="S42" s="16" t="inlineStr">
        <is>
          <t>PASS</t>
        </is>
      </c>
      <c r="T42" s="16" t="inlineStr">
        <is>
          <t>2026-04-16</t>
        </is>
      </c>
      <c r="U42" s="16" t="inlineStr">
        <is>
          <t>39c48ee</t>
        </is>
      </c>
      <c r="V42" s="16" t="inlineStr">
        <is>
          <t>ip/buffered_axi_lite_uart/tb/scripts/vivado/xsim.log</t>
        </is>
      </c>
      <c r="W42" s="16" t="inlineStr">
        <is>
          <t>NOT_RUN</t>
        </is>
      </c>
      <c r="X42" s="16" t="inlineStr"/>
      <c r="AA42" s="16" t="inlineStr"/>
      <c r="AB42" s="17">
        <f>IF(K42="WAIVED","WAIVED",IF(H42="","OPEN",IF(S42="BLOCKED","BLOCKED",IF(S42="FAIL","FAILING",IF(S42="PASS",IF(AA42&lt;&gt;"","AT_RISK",IF(AC42&lt;&gt;"","CLOSED","PASSING")),"COVERED")))))</f>
        <v/>
      </c>
      <c r="AC42" s="16" t="inlineStr"/>
      <c r="AD42" s="16" t="inlineStr"/>
      <c r="AE42" s="16" t="inlineStr"/>
      <c r="AF42" s="16" t="inlineStr">
        <is>
          <t>1.0.0</t>
        </is>
      </c>
      <c r="AG42" s="16" t="inlineStr">
        <is>
          <t>ZUBoard 1CG / Basys 3</t>
        </is>
      </c>
      <c r="AH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is>
          <t>Functional</t>
        </is>
      </c>
      <c r="O43" s="16" t="inlineStr">
        <is>
          <t>ALL</t>
        </is>
      </c>
      <c r="P43" s="16" t="inlineStr"/>
      <c r="Q43" s="16" t="inlineStr">
        <is>
          <t>vhdl/buffered_axi_lite_uart.vhd</t>
        </is>
      </c>
      <c r="R43" s="16" t="inlineStr">
        <is>
          <t>RTL</t>
        </is>
      </c>
      <c r="S43" s="16" t="inlineStr">
        <is>
          <t>PASS</t>
        </is>
      </c>
      <c r="T43" s="16" t="inlineStr">
        <is>
          <t>2026-04-16</t>
        </is>
      </c>
      <c r="U43" s="16" t="inlineStr">
        <is>
          <t>39c48ee</t>
        </is>
      </c>
      <c r="V43" s="16" t="inlineStr">
        <is>
          <t>ip/buffered_axi_lite_uart/tb/scripts/vivado/xsim.log</t>
        </is>
      </c>
      <c r="W43" s="16" t="inlineStr">
        <is>
          <t>NOT_RUN</t>
        </is>
      </c>
      <c r="X43" s="16" t="inlineStr"/>
      <c r="AA43" s="16" t="inlineStr"/>
      <c r="AB43" s="17">
        <f>IF(K43="WAIVED","WAIVED",IF(H43="","OPEN",IF(S43="BLOCKED","BLOCKED",IF(S43="FAIL","FAILING",IF(S43="PASS",IF(AA43&lt;&gt;"","AT_RISK",IF(AC43&lt;&gt;"","CLOSED","PASSING")),"COVERED")))))</f>
        <v/>
      </c>
      <c r="AC43" s="16" t="inlineStr"/>
      <c r="AD43" s="16" t="inlineStr"/>
      <c r="AE43" s="16" t="inlineStr"/>
      <c r="AF43" s="16" t="inlineStr">
        <is>
          <t>1.0.0</t>
        </is>
      </c>
      <c r="AG43" s="16" t="inlineStr">
        <is>
          <t>ZUBoard 1CG / Basys 3</t>
        </is>
      </c>
      <c r="AH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is>
          <t>Functional</t>
        </is>
      </c>
      <c r="O44" s="16" t="inlineStr">
        <is>
          <t>ALL</t>
        </is>
      </c>
      <c r="P44" s="16" t="inlineStr"/>
      <c r="Q44" s="16" t="inlineStr">
        <is>
          <t>vhdl/buffered_axi_lite_uart.vhd</t>
        </is>
      </c>
      <c r="R44" s="16" t="inlineStr">
        <is>
          <t>RTL</t>
        </is>
      </c>
      <c r="S44" s="16" t="inlineStr">
        <is>
          <t>PASS</t>
        </is>
      </c>
      <c r="T44" s="16" t="inlineStr">
        <is>
          <t>2026-04-16</t>
        </is>
      </c>
      <c r="U44" s="16" t="inlineStr">
        <is>
          <t>39c48ee</t>
        </is>
      </c>
      <c r="V44" s="16" t="inlineStr">
        <is>
          <t>ip/buffered_axi_lite_uart/tb/scripts/vivado/xsim.log</t>
        </is>
      </c>
      <c r="W44" s="16" t="inlineStr">
        <is>
          <t>NOT_RUN</t>
        </is>
      </c>
      <c r="X44" s="16" t="inlineStr"/>
      <c r="AA44" s="16" t="inlineStr"/>
      <c r="AB44" s="17">
        <f>IF(K44="WAIVED","WAIVED",IF(H44="","OPEN",IF(S44="BLOCKED","BLOCKED",IF(S44="FAIL","FAILING",IF(S44="PASS",IF(AA44&lt;&gt;"","AT_RISK",IF(AC44&lt;&gt;"","CLOSED","PASSING")),"COVERED")))))</f>
        <v/>
      </c>
      <c r="AC44" s="16" t="inlineStr"/>
      <c r="AD44" s="16" t="inlineStr"/>
      <c r="AE44" s="16" t="inlineStr"/>
      <c r="AF44" s="16" t="inlineStr">
        <is>
          <t>1.0.0</t>
        </is>
      </c>
      <c r="AG44" s="16" t="inlineStr">
        <is>
          <t>ZUBoard 1CG / Basys 3</t>
        </is>
      </c>
      <c r="AH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is>
          <t>Functional</t>
        </is>
      </c>
      <c r="O45" s="16" t="inlineStr">
        <is>
          <t>ALL</t>
        </is>
      </c>
      <c r="P45" s="16" t="inlineStr"/>
      <c r="Q45" s="16" t="inlineStr">
        <is>
          <t>vhdl/buffered_axi_lite_uart.vhd</t>
        </is>
      </c>
      <c r="R45" s="16" t="inlineStr">
        <is>
          <t>RTL</t>
        </is>
      </c>
      <c r="S45" s="16" t="inlineStr">
        <is>
          <t>PASS</t>
        </is>
      </c>
      <c r="T45" s="16" t="inlineStr">
        <is>
          <t>2026-04-16</t>
        </is>
      </c>
      <c r="U45" s="16" t="inlineStr">
        <is>
          <t>39c48ee</t>
        </is>
      </c>
      <c r="V45" s="16" t="inlineStr">
        <is>
          <t>ip/buffered_axi_lite_uart/tb/scripts/vivado/xsim.log</t>
        </is>
      </c>
      <c r="W45" s="16" t="inlineStr">
        <is>
          <t>NOT_RUN</t>
        </is>
      </c>
      <c r="X45" s="16" t="inlineStr"/>
      <c r="AA45" s="16" t="inlineStr"/>
      <c r="AB45" s="17">
        <f>IF(K45="WAIVED","WAIVED",IF(H45="","OPEN",IF(S45="BLOCKED","BLOCKED",IF(S45="FAIL","FAILING",IF(S45="PASS",IF(AA45&lt;&gt;"","AT_RISK",IF(AC45&lt;&gt;"","CLOSED","PASSING")),"COVERED")))))</f>
        <v/>
      </c>
      <c r="AC45" s="16" t="inlineStr"/>
      <c r="AD45" s="16" t="inlineStr"/>
      <c r="AE45" s="16" t="inlineStr"/>
      <c r="AF45" s="16" t="inlineStr">
        <is>
          <t>1.0.0</t>
        </is>
      </c>
      <c r="AG45" s="16" t="inlineStr">
        <is>
          <t>ZUBoard 1CG / Basys 3</t>
        </is>
      </c>
      <c r="AH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is>
          <t>Functional</t>
        </is>
      </c>
      <c r="O46" s="16" t="inlineStr">
        <is>
          <t>ALL</t>
        </is>
      </c>
      <c r="P46" s="16" t="inlineStr"/>
      <c r="Q46" s="16" t="inlineStr">
        <is>
          <t>vhdl/buffered_axi_lite_uart.vhd</t>
        </is>
      </c>
      <c r="R46" s="16" t="inlineStr">
        <is>
          <t>RTL</t>
        </is>
      </c>
      <c r="S46" s="16" t="inlineStr">
        <is>
          <t>PASS</t>
        </is>
      </c>
      <c r="T46" s="16" t="inlineStr">
        <is>
          <t>2026-04-16</t>
        </is>
      </c>
      <c r="U46" s="16" t="inlineStr">
        <is>
          <t>39c48ee</t>
        </is>
      </c>
      <c r="V46" s="16" t="inlineStr">
        <is>
          <t>ip/buffered_axi_lite_uart/tb/scripts/vivado/xsim.log</t>
        </is>
      </c>
      <c r="W46" s="16" t="inlineStr">
        <is>
          <t>NOT_RUN</t>
        </is>
      </c>
      <c r="X46" s="16" t="inlineStr"/>
      <c r="AA46" s="16" t="inlineStr"/>
      <c r="AB46" s="17">
        <f>IF(K46="WAIVED","WAIVED",IF(H46="","OPEN",IF(S46="BLOCKED","BLOCKED",IF(S46="FAIL","FAILING",IF(S46="PASS",IF(AA46&lt;&gt;"","AT_RISK",IF(AC46&lt;&gt;"","CLOSED","PASSING")),"COVERED")))))</f>
        <v/>
      </c>
      <c r="AC46" s="16" t="inlineStr"/>
      <c r="AD46" s="16" t="inlineStr"/>
      <c r="AE46" s="16" t="inlineStr"/>
      <c r="AF46" s="16" t="inlineStr">
        <is>
          <t>1.0.0</t>
        </is>
      </c>
      <c r="AG46" s="16" t="inlineStr">
        <is>
          <t>ZUBoard 1CG / Basys 3</t>
        </is>
      </c>
      <c r="AH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is>
          <t>Functional</t>
        </is>
      </c>
      <c r="O47" s="16" t="inlineStr">
        <is>
          <t>ALL</t>
        </is>
      </c>
      <c r="P47" s="16" t="inlineStr"/>
      <c r="Q47" s="16" t="inlineStr">
        <is>
          <t>vhdl/buffered_axi_lite_uart.vhd</t>
        </is>
      </c>
      <c r="R47" s="16" t="inlineStr">
        <is>
          <t>RTL</t>
        </is>
      </c>
      <c r="S47" s="16" t="inlineStr">
        <is>
          <t>PASS</t>
        </is>
      </c>
      <c r="T47" s="16" t="inlineStr">
        <is>
          <t>2026-04-16</t>
        </is>
      </c>
      <c r="U47" s="16" t="inlineStr">
        <is>
          <t>39c48ee</t>
        </is>
      </c>
      <c r="V47" s="16" t="inlineStr">
        <is>
          <t>ip/buffered_axi_lite_uart/tb/scripts/vivado/xsim.log</t>
        </is>
      </c>
      <c r="W47" s="16" t="inlineStr">
        <is>
          <t>NOT_RUN</t>
        </is>
      </c>
      <c r="X47" s="16" t="inlineStr"/>
      <c r="AA47" s="16" t="inlineStr"/>
      <c r="AB47" s="17">
        <f>IF(K47="WAIVED","WAIVED",IF(H47="","OPEN",IF(S47="BLOCKED","BLOCKED",IF(S47="FAIL","FAILING",IF(S47="PASS",IF(AA47&lt;&gt;"","AT_RISK",IF(AC47&lt;&gt;"","CLOSED","PASSING")),"COVERED")))))</f>
        <v/>
      </c>
      <c r="AC47" s="16" t="inlineStr"/>
      <c r="AD47" s="16" t="inlineStr"/>
      <c r="AE47" s="16" t="inlineStr"/>
      <c r="AF47" s="16" t="inlineStr">
        <is>
          <t>1.0.0</t>
        </is>
      </c>
      <c r="AG47" s="16" t="inlineStr">
        <is>
          <t>ZUBoard 1CG / Basys 3</t>
        </is>
      </c>
      <c r="AH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is>
          <t>Functional</t>
        </is>
      </c>
      <c r="O48" s="16" t="inlineStr">
        <is>
          <t>ALL</t>
        </is>
      </c>
      <c r="P48" s="16" t="inlineStr"/>
      <c r="Q48" s="16" t="inlineStr">
        <is>
          <t>vhdl/buffered_axi_lite_uart.vhd</t>
        </is>
      </c>
      <c r="R48" s="16" t="inlineStr">
        <is>
          <t>RTL</t>
        </is>
      </c>
      <c r="S48" s="16" t="inlineStr">
        <is>
          <t>PASS</t>
        </is>
      </c>
      <c r="T48" s="16" t="inlineStr">
        <is>
          <t>2026-04-16</t>
        </is>
      </c>
      <c r="U48" s="16" t="inlineStr">
        <is>
          <t>39c48ee</t>
        </is>
      </c>
      <c r="V48" s="16" t="inlineStr">
        <is>
          <t>ip/buffered_axi_lite_uart/tb/scripts/vivado/xsim.log</t>
        </is>
      </c>
      <c r="W48" s="16" t="inlineStr">
        <is>
          <t>NOT_RUN</t>
        </is>
      </c>
      <c r="X48" s="16" t="inlineStr"/>
      <c r="AA48" s="16" t="inlineStr"/>
      <c r="AB48" s="17">
        <f>IF(K48="WAIVED","WAIVED",IF(H48="","OPEN",IF(S48="BLOCKED","BLOCKED",IF(S48="FAIL","FAILING",IF(S48="PASS",IF(AA48&lt;&gt;"","AT_RISK",IF(AC48&lt;&gt;"","CLOSED","PASSING")),"COVERED")))))</f>
        <v/>
      </c>
      <c r="AC48" s="16" t="inlineStr"/>
      <c r="AD48" s="16" t="inlineStr"/>
      <c r="AE48" s="16" t="inlineStr"/>
      <c r="AF48" s="16" t="inlineStr">
        <is>
          <t>1.0.0</t>
        </is>
      </c>
      <c r="AG48" s="16" t="inlineStr">
        <is>
          <t>ZUBoard 1CG / Basys 3</t>
        </is>
      </c>
      <c r="AH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is>
          <t>Functional</t>
        </is>
      </c>
      <c r="O49" s="16" t="inlineStr">
        <is>
          <t>ALL</t>
        </is>
      </c>
      <c r="P49" s="16" t="inlineStr"/>
      <c r="Q49" s="16" t="inlineStr">
        <is>
          <t>vhdl/buffered_axi_lite_uart.vhd</t>
        </is>
      </c>
      <c r="R49" s="16" t="inlineStr">
        <is>
          <t>RTL</t>
        </is>
      </c>
      <c r="S49" s="16" t="inlineStr">
        <is>
          <t>PASS</t>
        </is>
      </c>
      <c r="T49" s="16" t="inlineStr">
        <is>
          <t>2026-04-16</t>
        </is>
      </c>
      <c r="U49" s="16" t="inlineStr">
        <is>
          <t>39c48ee</t>
        </is>
      </c>
      <c r="V49" s="16" t="inlineStr">
        <is>
          <t>ip/buffered_axi_lite_uart/tb/scripts/vivado/xsim.log</t>
        </is>
      </c>
      <c r="W49" s="16" t="inlineStr">
        <is>
          <t>NOT_RUN</t>
        </is>
      </c>
      <c r="X49" s="16" t="inlineStr"/>
      <c r="AA49" s="16" t="inlineStr"/>
      <c r="AB49" s="17">
        <f>IF(K49="WAIVED","WAIVED",IF(H49="","OPEN",IF(S49="BLOCKED","BLOCKED",IF(S49="FAIL","FAILING",IF(S49="PASS",IF(AA49&lt;&gt;"","AT_RISK",IF(AC49&lt;&gt;"","CLOSED","PASSING")),"COVERED")))))</f>
        <v/>
      </c>
      <c r="AC49" s="16" t="inlineStr"/>
      <c r="AD49" s="16" t="inlineStr"/>
      <c r="AE49" s="16" t="inlineStr"/>
      <c r="AF49" s="16" t="inlineStr">
        <is>
          <t>1.0.0</t>
        </is>
      </c>
      <c r="AG49" s="16" t="inlineStr">
        <is>
          <t>ZUBoard 1CG / Basys 3</t>
        </is>
      </c>
      <c r="AH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is>
          <t>Functional</t>
        </is>
      </c>
      <c r="O50" s="16" t="inlineStr">
        <is>
          <t>ALL</t>
        </is>
      </c>
      <c r="P50" s="16" t="inlineStr"/>
      <c r="Q50" s="16" t="inlineStr">
        <is>
          <t>vhdl/buffered_axi_lite_uart.vhd</t>
        </is>
      </c>
      <c r="R50" s="16" t="inlineStr">
        <is>
          <t>RTL</t>
        </is>
      </c>
      <c r="S50" s="16" t="inlineStr">
        <is>
          <t>PASS</t>
        </is>
      </c>
      <c r="T50" s="16" t="inlineStr">
        <is>
          <t>2026-04-16</t>
        </is>
      </c>
      <c r="U50" s="16" t="inlineStr">
        <is>
          <t>39c48ee</t>
        </is>
      </c>
      <c r="V50" s="16" t="inlineStr">
        <is>
          <t>ip/buffered_axi_lite_uart/tb/scripts/vivado/xsim.log</t>
        </is>
      </c>
      <c r="W50" s="16" t="inlineStr">
        <is>
          <t>NOT_RUN</t>
        </is>
      </c>
      <c r="X50" s="16" t="inlineStr"/>
      <c r="AA50" s="16" t="inlineStr"/>
      <c r="AB50" s="17">
        <f>IF(K50="WAIVED","WAIVED",IF(H50="","OPEN",IF(S50="BLOCKED","BLOCKED",IF(S50="FAIL","FAILING",IF(S50="PASS",IF(AA50&lt;&gt;"","AT_RISK",IF(AC50&lt;&gt;"","CLOSED","PASSING")),"COVERED")))))</f>
        <v/>
      </c>
      <c r="AC50" s="16" t="inlineStr"/>
      <c r="AD50" s="16" t="inlineStr"/>
      <c r="AE50" s="16" t="inlineStr"/>
      <c r="AF50" s="16" t="inlineStr">
        <is>
          <t>1.0.0</t>
        </is>
      </c>
      <c r="AG50" s="16" t="inlineStr">
        <is>
          <t>ZUBoard 1CG / Basys 3</t>
        </is>
      </c>
      <c r="AH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is>
          <t>Functional</t>
        </is>
      </c>
      <c r="O51" s="16" t="inlineStr">
        <is>
          <t>ALL</t>
        </is>
      </c>
      <c r="P51" s="16" t="inlineStr"/>
      <c r="Q51" s="16" t="inlineStr">
        <is>
          <t>vhdl/buffered_axi_lite_uart.vhd</t>
        </is>
      </c>
      <c r="R51" s="16" t="inlineStr">
        <is>
          <t>RTL</t>
        </is>
      </c>
      <c r="S51" s="16" t="inlineStr">
        <is>
          <t>PASS</t>
        </is>
      </c>
      <c r="T51" s="16" t="inlineStr">
        <is>
          <t>2026-04-16</t>
        </is>
      </c>
      <c r="U51" s="16" t="inlineStr">
        <is>
          <t>39c48ee</t>
        </is>
      </c>
      <c r="V51" s="16" t="inlineStr">
        <is>
          <t>ip/buffered_axi_lite_uart/tb/scripts/vivado/xsim.log</t>
        </is>
      </c>
      <c r="W51" s="16" t="inlineStr">
        <is>
          <t>NOT_RUN</t>
        </is>
      </c>
      <c r="X51" s="16" t="inlineStr"/>
      <c r="AA51" s="16" t="inlineStr"/>
      <c r="AB51" s="17">
        <f>IF(K51="WAIVED","WAIVED",IF(H51="","OPEN",IF(S51="BLOCKED","BLOCKED",IF(S51="FAIL","FAILING",IF(S51="PASS",IF(AA51&lt;&gt;"","AT_RISK",IF(AC51&lt;&gt;"","CLOSED","PASSING")),"COVERED")))))</f>
        <v/>
      </c>
      <c r="AC51" s="16" t="inlineStr"/>
      <c r="AD51" s="16" t="inlineStr"/>
      <c r="AE51" s="16" t="inlineStr"/>
      <c r="AF51" s="16" t="inlineStr">
        <is>
          <t>1.0.0</t>
        </is>
      </c>
      <c r="AG51" s="16" t="inlineStr">
        <is>
          <t>ZUBoard 1CG / Basys 3</t>
        </is>
      </c>
      <c r="AH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is>
          <t>Functional</t>
        </is>
      </c>
      <c r="O52" s="16" t="inlineStr">
        <is>
          <t>ALL</t>
        </is>
      </c>
      <c r="P52" s="16" t="inlineStr"/>
      <c r="Q52" s="16" t="inlineStr">
        <is>
          <t>vhdl/buffered_axi_lite_uart.vhd</t>
        </is>
      </c>
      <c r="R52" s="16" t="inlineStr">
        <is>
          <t>RTL</t>
        </is>
      </c>
      <c r="S52" s="16" t="inlineStr">
        <is>
          <t>PASS</t>
        </is>
      </c>
      <c r="T52" s="16" t="inlineStr">
        <is>
          <t>2026-04-16</t>
        </is>
      </c>
      <c r="U52" s="16" t="inlineStr">
        <is>
          <t>39c48ee</t>
        </is>
      </c>
      <c r="V52" s="16" t="inlineStr">
        <is>
          <t>ip/buffered_axi_lite_uart/tb/scripts/vivado/xsim.log</t>
        </is>
      </c>
      <c r="W52" s="16" t="inlineStr">
        <is>
          <t>NOT_RUN</t>
        </is>
      </c>
      <c r="X52" s="16" t="inlineStr"/>
      <c r="AA52" s="16" t="inlineStr"/>
      <c r="AB52" s="17">
        <f>IF(K52="WAIVED","WAIVED",IF(H52="","OPEN",IF(S52="BLOCKED","BLOCKED",IF(S52="FAIL","FAILING",IF(S52="PASS",IF(AA52&lt;&gt;"","AT_RISK",IF(AC52&lt;&gt;"","CLOSED","PASSING")),"COVERED")))))</f>
        <v/>
      </c>
      <c r="AC52" s="16" t="inlineStr"/>
      <c r="AD52" s="16" t="inlineStr"/>
      <c r="AE52" s="16" t="inlineStr"/>
      <c r="AF52" s="16" t="inlineStr">
        <is>
          <t>1.0.0</t>
        </is>
      </c>
      <c r="AG52" s="16" t="inlineStr">
        <is>
          <t>ZUBoard 1CG / Basys 3</t>
        </is>
      </c>
      <c r="AH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is>
          <t>Functional</t>
        </is>
      </c>
      <c r="O53" s="16" t="inlineStr">
        <is>
          <t>ALL</t>
        </is>
      </c>
      <c r="P53" s="16" t="inlineStr"/>
      <c r="Q53" s="16" t="inlineStr">
        <is>
          <t>vhdl/buffered_axi_lite_uart.vhd</t>
        </is>
      </c>
      <c r="R53" s="16" t="inlineStr">
        <is>
          <t>RTL</t>
        </is>
      </c>
      <c r="S53" s="16" t="inlineStr">
        <is>
          <t>PASS</t>
        </is>
      </c>
      <c r="T53" s="16" t="inlineStr">
        <is>
          <t>2026-04-16</t>
        </is>
      </c>
      <c r="U53" s="16" t="inlineStr">
        <is>
          <t>39c48ee</t>
        </is>
      </c>
      <c r="V53" s="16" t="inlineStr">
        <is>
          <t>ip/buffered_axi_lite_uart/tb/scripts/vivado/xsim.log</t>
        </is>
      </c>
      <c r="W53" s="16" t="inlineStr">
        <is>
          <t>NOT_RUN</t>
        </is>
      </c>
      <c r="X53" s="16" t="inlineStr"/>
      <c r="AA53" s="16" t="inlineStr"/>
      <c r="AB53" s="17">
        <f>IF(K53="WAIVED","WAIVED",IF(H53="","OPEN",IF(S53="BLOCKED","BLOCKED",IF(S53="FAIL","FAILING",IF(S53="PASS",IF(AA53&lt;&gt;"","AT_RISK",IF(AC53&lt;&gt;"","CLOSED","PASSING")),"COVERED")))))</f>
        <v/>
      </c>
      <c r="AC53" s="16" t="inlineStr"/>
      <c r="AD53" s="16" t="inlineStr"/>
      <c r="AE53" s="16" t="inlineStr"/>
      <c r="AF53" s="16" t="inlineStr">
        <is>
          <t>1.0.0</t>
        </is>
      </c>
      <c r="AG53" s="16" t="inlineStr">
        <is>
          <t>ZUBoard 1CG / Basys 3</t>
        </is>
      </c>
      <c r="AH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is>
          <t>Functional</t>
        </is>
      </c>
      <c r="O54" s="16" t="inlineStr">
        <is>
          <t>ALL</t>
        </is>
      </c>
      <c r="P54" s="16" t="inlineStr"/>
      <c r="Q54" s="16" t="inlineStr">
        <is>
          <t>vhdl/buffered_axi_lite_uart.vhd</t>
        </is>
      </c>
      <c r="R54" s="16" t="inlineStr">
        <is>
          <t>RTL</t>
        </is>
      </c>
      <c r="S54" s="16" t="inlineStr">
        <is>
          <t>PASS</t>
        </is>
      </c>
      <c r="T54" s="16" t="inlineStr">
        <is>
          <t>2026-04-16</t>
        </is>
      </c>
      <c r="U54" s="16" t="inlineStr">
        <is>
          <t>39c48ee</t>
        </is>
      </c>
      <c r="V54" s="16" t="inlineStr">
        <is>
          <t>ip/buffered_axi_lite_uart/tb/scripts/vivado/xsim.log</t>
        </is>
      </c>
      <c r="W54" s="16" t="inlineStr">
        <is>
          <t>NOT_RUN</t>
        </is>
      </c>
      <c r="X54" s="16" t="inlineStr"/>
      <c r="AA54" s="16" t="inlineStr"/>
      <c r="AB54" s="17">
        <f>IF(K54="WAIVED","WAIVED",IF(H54="","OPEN",IF(S54="BLOCKED","BLOCKED",IF(S54="FAIL","FAILING",IF(S54="PASS",IF(AA54&lt;&gt;"","AT_RISK",IF(AC54&lt;&gt;"","CLOSED","PASSING")),"COVERED")))))</f>
        <v/>
      </c>
      <c r="AC54" s="16" t="inlineStr"/>
      <c r="AD54" s="16" t="inlineStr"/>
      <c r="AE54" s="16" t="inlineStr"/>
      <c r="AF54" s="16" t="inlineStr">
        <is>
          <t>1.0.0</t>
        </is>
      </c>
      <c r="AG54" s="16" t="inlineStr">
        <is>
          <t>ZUBoard 1CG / Basys 3</t>
        </is>
      </c>
      <c r="AH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is>
          <t>Functional</t>
        </is>
      </c>
      <c r="O55" s="16" t="inlineStr">
        <is>
          <t>ALL</t>
        </is>
      </c>
      <c r="P55" s="16" t="inlineStr"/>
      <c r="Q55" s="16" t="inlineStr">
        <is>
          <t>vhdl/buffered_axi_lite_uart.vhd</t>
        </is>
      </c>
      <c r="R55" s="16" t="inlineStr">
        <is>
          <t>RTL</t>
        </is>
      </c>
      <c r="S55" s="16" t="inlineStr">
        <is>
          <t>PASS</t>
        </is>
      </c>
      <c r="T55" s="16" t="inlineStr">
        <is>
          <t>2026-04-16</t>
        </is>
      </c>
      <c r="U55" s="16" t="inlineStr">
        <is>
          <t>39c48ee</t>
        </is>
      </c>
      <c r="V55" s="16" t="inlineStr">
        <is>
          <t>ip/buffered_axi_lite_uart/tb/scripts/vivado/xsim.log</t>
        </is>
      </c>
      <c r="W55" s="16" t="inlineStr">
        <is>
          <t>NOT_RUN</t>
        </is>
      </c>
      <c r="X55" s="16" t="inlineStr"/>
      <c r="AA55" s="16" t="inlineStr"/>
      <c r="AB55" s="17">
        <f>IF(K55="WAIVED","WAIVED",IF(H55="","OPEN",IF(S55="BLOCKED","BLOCKED",IF(S55="FAIL","FAILING",IF(S55="PASS",IF(AA55&lt;&gt;"","AT_RISK",IF(AC55&lt;&gt;"","CLOSED","PASSING")),"COVERED")))))</f>
        <v/>
      </c>
      <c r="AC55" s="16" t="inlineStr"/>
      <c r="AD55" s="16" t="inlineStr"/>
      <c r="AE55" s="16" t="inlineStr"/>
      <c r="AF55" s="16" t="inlineStr">
        <is>
          <t>1.0.0</t>
        </is>
      </c>
      <c r="AG55" s="16" t="inlineStr">
        <is>
          <t>ZUBoard 1CG / Basys 3</t>
        </is>
      </c>
      <c r="AH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is>
          <t>Functional</t>
        </is>
      </c>
      <c r="O56" s="16" t="inlineStr">
        <is>
          <t>ALL</t>
        </is>
      </c>
      <c r="P56" s="16" t="inlineStr"/>
      <c r="Q56" s="16" t="inlineStr">
        <is>
          <t>vhdl/buffered_axi_lite_uart.vhd</t>
        </is>
      </c>
      <c r="R56" s="16" t="inlineStr">
        <is>
          <t>RTL</t>
        </is>
      </c>
      <c r="S56" s="16" t="inlineStr">
        <is>
          <t>PASS</t>
        </is>
      </c>
      <c r="T56" s="16" t="inlineStr">
        <is>
          <t>2026-04-16</t>
        </is>
      </c>
      <c r="U56" s="16" t="inlineStr">
        <is>
          <t>39c48ee</t>
        </is>
      </c>
      <c r="V56" s="16" t="inlineStr">
        <is>
          <t>ip/buffered_axi_lite_uart/tb/scripts/vivado/xsim.log</t>
        </is>
      </c>
      <c r="W56" s="16" t="inlineStr">
        <is>
          <t>NOT_RUN</t>
        </is>
      </c>
      <c r="X56" s="16" t="inlineStr"/>
      <c r="AA56" s="16" t="inlineStr"/>
      <c r="AB56" s="17">
        <f>IF(K56="WAIVED","WAIVED",IF(H56="","OPEN",IF(S56="BLOCKED","BLOCKED",IF(S56="FAIL","FAILING",IF(S56="PASS",IF(AA56&lt;&gt;"","AT_RISK",IF(AC56&lt;&gt;"","CLOSED","PASSING")),"COVERED")))))</f>
        <v/>
      </c>
      <c r="AC56" s="16" t="inlineStr"/>
      <c r="AD56" s="16" t="inlineStr"/>
      <c r="AE56" s="16" t="inlineStr"/>
      <c r="AF56" s="16" t="inlineStr">
        <is>
          <t>1.0.0</t>
        </is>
      </c>
      <c r="AG56" s="16" t="inlineStr">
        <is>
          <t>ZUBoard 1CG / Basys 3</t>
        </is>
      </c>
      <c r="AH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is>
          <t>Functional</t>
        </is>
      </c>
      <c r="O57" s="16" t="inlineStr">
        <is>
          <t>ALL</t>
        </is>
      </c>
      <c r="P57" s="16" t="inlineStr"/>
      <c r="Q57" s="16" t="inlineStr">
        <is>
          <t>vhdl/buffered_axi_lite_uart.vhd</t>
        </is>
      </c>
      <c r="R57" s="16" t="inlineStr">
        <is>
          <t>RTL</t>
        </is>
      </c>
      <c r="S57" s="16" t="inlineStr">
        <is>
          <t>PASS</t>
        </is>
      </c>
      <c r="T57" s="16" t="inlineStr">
        <is>
          <t>2026-04-16</t>
        </is>
      </c>
      <c r="U57" s="16" t="inlineStr">
        <is>
          <t>39c48ee</t>
        </is>
      </c>
      <c r="V57" s="16" t="inlineStr">
        <is>
          <t>ip/buffered_axi_lite_uart/tb/scripts/vivado/xsim.log</t>
        </is>
      </c>
      <c r="W57" s="16" t="inlineStr">
        <is>
          <t>NOT_RUN</t>
        </is>
      </c>
      <c r="X57" s="16" t="inlineStr"/>
      <c r="AA57" s="16" t="inlineStr"/>
      <c r="AB57" s="17">
        <f>IF(K57="WAIVED","WAIVED",IF(H57="","OPEN",IF(S57="BLOCKED","BLOCKED",IF(S57="FAIL","FAILING",IF(S57="PASS",IF(AA57&lt;&gt;"","AT_RISK",IF(AC57&lt;&gt;"","CLOSED","PASSING")),"COVERED")))))</f>
        <v/>
      </c>
      <c r="AC57" s="16" t="inlineStr"/>
      <c r="AD57" s="16" t="inlineStr"/>
      <c r="AE57" s="16" t="inlineStr"/>
      <c r="AF57" s="16" t="inlineStr">
        <is>
          <t>1.0.0</t>
        </is>
      </c>
      <c r="AG57" s="16" t="inlineStr">
        <is>
          <t>ZUBoard 1CG / Basys 3</t>
        </is>
      </c>
      <c r="AH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is>
          <t>Functional</t>
        </is>
      </c>
      <c r="O58" s="16" t="inlineStr">
        <is>
          <t>ALL</t>
        </is>
      </c>
      <c r="P58" s="16" t="inlineStr"/>
      <c r="Q58" s="16" t="inlineStr">
        <is>
          <t>vhdl/buffered_axi_lite_uart.vhd</t>
        </is>
      </c>
      <c r="R58" s="16" t="inlineStr">
        <is>
          <t>RTL</t>
        </is>
      </c>
      <c r="S58" s="16" t="inlineStr">
        <is>
          <t>PASS</t>
        </is>
      </c>
      <c r="T58" s="16" t="inlineStr">
        <is>
          <t>2026-04-16</t>
        </is>
      </c>
      <c r="U58" s="16" t="inlineStr">
        <is>
          <t>39c48ee</t>
        </is>
      </c>
      <c r="V58" s="16" t="inlineStr">
        <is>
          <t>ip/buffered_axi_lite_uart/tb/scripts/vivado/xsim.log</t>
        </is>
      </c>
      <c r="W58" s="16" t="inlineStr">
        <is>
          <t>NOT_RUN</t>
        </is>
      </c>
      <c r="X58" s="16" t="inlineStr"/>
      <c r="AA58" s="16" t="inlineStr"/>
      <c r="AB58" s="17">
        <f>IF(K58="WAIVED","WAIVED",IF(H58="","OPEN",IF(S58="BLOCKED","BLOCKED",IF(S58="FAIL","FAILING",IF(S58="PASS",IF(AA58&lt;&gt;"","AT_RISK",IF(AC58&lt;&gt;"","CLOSED","PASSING")),"COVERED")))))</f>
        <v/>
      </c>
      <c r="AC58" s="16" t="inlineStr"/>
      <c r="AD58" s="16" t="inlineStr"/>
      <c r="AE58" s="16" t="inlineStr"/>
      <c r="AF58" s="16" t="inlineStr">
        <is>
          <t>1.0.0</t>
        </is>
      </c>
      <c r="AG58" s="16" t="inlineStr">
        <is>
          <t>ZUBoard 1CG / Basys 3</t>
        </is>
      </c>
      <c r="AH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is>
          <t>Functional</t>
        </is>
      </c>
      <c r="O59" s="16" t="inlineStr">
        <is>
          <t>ALL</t>
        </is>
      </c>
      <c r="P59" s="16" t="inlineStr"/>
      <c r="Q59" s="16" t="inlineStr">
        <is>
          <t>vhdl/buffered_axi_lite_uart.vhd</t>
        </is>
      </c>
      <c r="R59" s="16" t="inlineStr">
        <is>
          <t>RTL</t>
        </is>
      </c>
      <c r="S59" s="16" t="inlineStr">
        <is>
          <t>PASS</t>
        </is>
      </c>
      <c r="T59" s="16" t="inlineStr">
        <is>
          <t>2026-04-16</t>
        </is>
      </c>
      <c r="U59" s="16" t="inlineStr">
        <is>
          <t>39c48ee</t>
        </is>
      </c>
      <c r="V59" s="16" t="inlineStr">
        <is>
          <t>ip/buffered_axi_lite_uart/tb/scripts/vivado/xsim.log</t>
        </is>
      </c>
      <c r="W59" s="16" t="inlineStr">
        <is>
          <t>NOT_RUN</t>
        </is>
      </c>
      <c r="X59" s="16" t="inlineStr"/>
      <c r="AA59" s="16" t="inlineStr"/>
      <c r="AB59" s="17">
        <f>IF(K59="WAIVED","WAIVED",IF(H59="","OPEN",IF(S59="BLOCKED","BLOCKED",IF(S59="FAIL","FAILING",IF(S59="PASS",IF(AA59&lt;&gt;"","AT_RISK",IF(AC59&lt;&gt;"","CLOSED","PASSING")),"COVERED")))))</f>
        <v/>
      </c>
      <c r="AC59" s="16" t="inlineStr"/>
      <c r="AD59" s="16" t="inlineStr"/>
      <c r="AE59" s="16" t="inlineStr"/>
      <c r="AF59" s="16" t="inlineStr">
        <is>
          <t>1.0.0</t>
        </is>
      </c>
      <c r="AG59" s="16" t="inlineStr">
        <is>
          <t>ZUBoard 1CG / Basys 3</t>
        </is>
      </c>
      <c r="AH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is>
          <t>Functional</t>
        </is>
      </c>
      <c r="O60" s="16" t="inlineStr">
        <is>
          <t>ALL</t>
        </is>
      </c>
      <c r="P60" s="16" t="inlineStr"/>
      <c r="Q60" s="16" t="inlineStr">
        <is>
          <t>vhdl/buffered_axi_lite_uart.vhd</t>
        </is>
      </c>
      <c r="R60" s="16" t="inlineStr">
        <is>
          <t>RTL</t>
        </is>
      </c>
      <c r="S60" s="16" t="inlineStr">
        <is>
          <t>PASS</t>
        </is>
      </c>
      <c r="T60" s="16" t="inlineStr">
        <is>
          <t>2026-04-16</t>
        </is>
      </c>
      <c r="U60" s="16" t="inlineStr">
        <is>
          <t>39c48ee</t>
        </is>
      </c>
      <c r="V60" s="16" t="inlineStr">
        <is>
          <t>ip/buffered_axi_lite_uart/tb/scripts/vivado/xsim.log</t>
        </is>
      </c>
      <c r="W60" s="16" t="inlineStr">
        <is>
          <t>NOT_RUN</t>
        </is>
      </c>
      <c r="X60" s="16" t="inlineStr"/>
      <c r="AA60" s="16" t="inlineStr"/>
      <c r="AB60" s="17">
        <f>IF(K60="WAIVED","WAIVED",IF(H60="","OPEN",IF(S60="BLOCKED","BLOCKED",IF(S60="FAIL","FAILING",IF(S60="PASS",IF(AA60&lt;&gt;"","AT_RISK",IF(AC60&lt;&gt;"","CLOSED","PASSING")),"COVERED")))))</f>
        <v/>
      </c>
      <c r="AC60" s="16" t="inlineStr"/>
      <c r="AD60" s="16" t="inlineStr"/>
      <c r="AE60" s="16" t="inlineStr"/>
      <c r="AF60" s="16" t="inlineStr">
        <is>
          <t>1.0.0</t>
        </is>
      </c>
      <c r="AG60" s="16" t="inlineStr">
        <is>
          <t>ZUBoard 1CG / Basys 3</t>
        </is>
      </c>
      <c r="AH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is>
          <t>Functional</t>
        </is>
      </c>
      <c r="O61" s="16" t="inlineStr">
        <is>
          <t>ALL</t>
        </is>
      </c>
      <c r="P61" s="16" t="inlineStr"/>
      <c r="Q61" s="16" t="inlineStr">
        <is>
          <t>vhdl/buffered_axi_lite_uart.vhd</t>
        </is>
      </c>
      <c r="R61" s="16" t="inlineStr">
        <is>
          <t>RTL</t>
        </is>
      </c>
      <c r="S61" s="16" t="inlineStr">
        <is>
          <t>PASS</t>
        </is>
      </c>
      <c r="T61" s="16" t="inlineStr">
        <is>
          <t>2026-04-16</t>
        </is>
      </c>
      <c r="U61" s="16" t="inlineStr">
        <is>
          <t>39c48ee</t>
        </is>
      </c>
      <c r="V61" s="16" t="inlineStr">
        <is>
          <t>ip/buffered_axi_lite_uart/tb/scripts/vivado/xsim.log</t>
        </is>
      </c>
      <c r="W61" s="16" t="inlineStr">
        <is>
          <t>NOT_RUN</t>
        </is>
      </c>
      <c r="X61" s="16" t="inlineStr"/>
      <c r="AA61" s="16" t="inlineStr"/>
      <c r="AB61" s="17">
        <f>IF(K61="WAIVED","WAIVED",IF(H61="","OPEN",IF(S61="BLOCKED","BLOCKED",IF(S61="FAIL","FAILING",IF(S61="PASS",IF(AA61&lt;&gt;"","AT_RISK",IF(AC61&lt;&gt;"","CLOSED","PASSING")),"COVERED")))))</f>
        <v/>
      </c>
      <c r="AC61" s="16" t="inlineStr"/>
      <c r="AD61" s="16" t="inlineStr"/>
      <c r="AE61" s="16" t="inlineStr"/>
      <c r="AF61" s="16" t="inlineStr">
        <is>
          <t>1.0.0</t>
        </is>
      </c>
      <c r="AG61" s="16" t="inlineStr">
        <is>
          <t>ZUBoard 1CG / Basys 3</t>
        </is>
      </c>
      <c r="AH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is>
          <t>Functional</t>
        </is>
      </c>
      <c r="O62" s="16" t="inlineStr">
        <is>
          <t>ALL</t>
        </is>
      </c>
      <c r="P62" s="16" t="inlineStr"/>
      <c r="Q62" s="16" t="inlineStr">
        <is>
          <t>vhdl/buffered_axi_lite_uart.vhd</t>
        </is>
      </c>
      <c r="R62" s="16" t="inlineStr">
        <is>
          <t>RTL</t>
        </is>
      </c>
      <c r="S62" s="16" t="inlineStr">
        <is>
          <t>PASS</t>
        </is>
      </c>
      <c r="T62" s="16" t="inlineStr">
        <is>
          <t>2026-04-16</t>
        </is>
      </c>
      <c r="U62" s="16" t="inlineStr">
        <is>
          <t>39c48ee</t>
        </is>
      </c>
      <c r="V62" s="16" t="inlineStr">
        <is>
          <t>ip/buffered_axi_lite_uart/tb/scripts/vivado/xsim.log</t>
        </is>
      </c>
      <c r="W62" s="16" t="inlineStr">
        <is>
          <t>NOT_RUN</t>
        </is>
      </c>
      <c r="X62" s="16" t="inlineStr"/>
      <c r="AA62" s="16" t="inlineStr"/>
      <c r="AB62" s="17">
        <f>IF(K62="WAIVED","WAIVED",IF(H62="","OPEN",IF(S62="BLOCKED","BLOCKED",IF(S62="FAIL","FAILING",IF(S62="PASS",IF(AA62&lt;&gt;"","AT_RISK",IF(AC62&lt;&gt;"","CLOSED","PASSING")),"COVERED")))))</f>
        <v/>
      </c>
      <c r="AC62" s="16" t="inlineStr"/>
      <c r="AD62" s="16" t="inlineStr"/>
      <c r="AE62" s="16" t="inlineStr"/>
      <c r="AF62" s="16" t="inlineStr">
        <is>
          <t>1.0.0</t>
        </is>
      </c>
      <c r="AG62" s="16" t="inlineStr">
        <is>
          <t>ZUBoard 1CG / Basys 3</t>
        </is>
      </c>
      <c r="AH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is>
          <t>Functional</t>
        </is>
      </c>
      <c r="O63" s="16" t="inlineStr">
        <is>
          <t>ALL</t>
        </is>
      </c>
      <c r="P63" s="16" t="inlineStr"/>
      <c r="Q63" s="16" t="inlineStr">
        <is>
          <t>vhdl/buffered_axi_lite_uart.vhd</t>
        </is>
      </c>
      <c r="R63" s="16" t="inlineStr">
        <is>
          <t>RTL</t>
        </is>
      </c>
      <c r="S63" s="16" t="inlineStr">
        <is>
          <t>PASS</t>
        </is>
      </c>
      <c r="T63" s="16" t="inlineStr">
        <is>
          <t>2026-04-16</t>
        </is>
      </c>
      <c r="U63" s="16" t="inlineStr">
        <is>
          <t>39c48ee</t>
        </is>
      </c>
      <c r="V63" s="16" t="inlineStr">
        <is>
          <t>ip/buffered_axi_lite_uart/tb/scripts/vivado/xsim.log</t>
        </is>
      </c>
      <c r="W63" s="16" t="inlineStr">
        <is>
          <t>NOT_RUN</t>
        </is>
      </c>
      <c r="X63" s="16" t="inlineStr"/>
      <c r="AA63" s="16" t="inlineStr"/>
      <c r="AB63" s="17">
        <f>IF(K63="WAIVED","WAIVED",IF(H63="","OPEN",IF(S63="BLOCKED","BLOCKED",IF(S63="FAIL","FAILING",IF(S63="PASS",IF(AA63&lt;&gt;"","AT_RISK",IF(AC63&lt;&gt;"","CLOSED","PASSING")),"COVERED")))))</f>
        <v/>
      </c>
      <c r="AC63" s="16" t="inlineStr"/>
      <c r="AD63" s="16" t="inlineStr"/>
      <c r="AE63" s="16" t="inlineStr"/>
      <c r="AF63" s="16" t="inlineStr">
        <is>
          <t>1.0.0</t>
        </is>
      </c>
      <c r="AG63" s="16" t="inlineStr">
        <is>
          <t>ZUBoard 1CG / Basys 3</t>
        </is>
      </c>
      <c r="AH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is>
          <t>Functional</t>
        </is>
      </c>
      <c r="O64" s="16" t="inlineStr">
        <is>
          <t>ALL</t>
        </is>
      </c>
      <c r="P64" s="16" t="inlineStr"/>
      <c r="Q64" s="16" t="inlineStr">
        <is>
          <t>vhdl/buffered_axi_lite_uart.vhd</t>
        </is>
      </c>
      <c r="R64" s="16" t="inlineStr">
        <is>
          <t>RTL</t>
        </is>
      </c>
      <c r="S64" s="16" t="inlineStr">
        <is>
          <t>PASS</t>
        </is>
      </c>
      <c r="T64" s="16" t="inlineStr">
        <is>
          <t>2026-04-16</t>
        </is>
      </c>
      <c r="U64" s="16" t="inlineStr">
        <is>
          <t>39c48ee</t>
        </is>
      </c>
      <c r="V64" s="16" t="inlineStr">
        <is>
          <t>ip/buffered_axi_lite_uart/tb/scripts/vivado/xsim.log</t>
        </is>
      </c>
      <c r="W64" s="16" t="inlineStr">
        <is>
          <t>NOT_RUN</t>
        </is>
      </c>
      <c r="X64" s="16" t="inlineStr"/>
      <c r="AA64" s="16" t="inlineStr"/>
      <c r="AB64" s="17">
        <f>IF(K64="WAIVED","WAIVED",IF(H64="","OPEN",IF(S64="BLOCKED","BLOCKED",IF(S64="FAIL","FAILING",IF(S64="PASS",IF(AA64&lt;&gt;"","AT_RISK",IF(AC64&lt;&gt;"","CLOSED","PASSING")),"COVERED")))))</f>
        <v/>
      </c>
      <c r="AC64" s="16" t="inlineStr"/>
      <c r="AD64" s="16" t="inlineStr"/>
      <c r="AE64" s="16" t="inlineStr"/>
      <c r="AF64" s="16" t="inlineStr">
        <is>
          <t>1.0.0</t>
        </is>
      </c>
      <c r="AG64" s="16" t="inlineStr">
        <is>
          <t>ZUBoard 1CG / Basys 3</t>
        </is>
      </c>
      <c r="AH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is>
          <t>Functional</t>
        </is>
      </c>
      <c r="O65" s="16" t="inlineStr">
        <is>
          <t>ALL</t>
        </is>
      </c>
      <c r="P65" s="16" t="inlineStr"/>
      <c r="Q65" s="16" t="inlineStr">
        <is>
          <t>vhdl/buffered_axi_lite_uart.vhd</t>
        </is>
      </c>
      <c r="R65" s="16" t="inlineStr">
        <is>
          <t>RTL</t>
        </is>
      </c>
      <c r="S65" s="16" t="inlineStr">
        <is>
          <t>PASS</t>
        </is>
      </c>
      <c r="T65" s="16" t="inlineStr">
        <is>
          <t>2026-04-16</t>
        </is>
      </c>
      <c r="U65" s="16" t="inlineStr">
        <is>
          <t>39c48ee</t>
        </is>
      </c>
      <c r="V65" s="16" t="inlineStr">
        <is>
          <t>ip/buffered_axi_lite_uart/tb/scripts/vivado/xsim.log</t>
        </is>
      </c>
      <c r="W65" s="16" t="inlineStr">
        <is>
          <t>NOT_RUN</t>
        </is>
      </c>
      <c r="X65" s="16" t="inlineStr"/>
      <c r="AA65" s="16" t="inlineStr"/>
      <c r="AB65" s="17">
        <f>IF(K65="WAIVED","WAIVED",IF(H65="","OPEN",IF(S65="BLOCKED","BLOCKED",IF(S65="FAIL","FAILING",IF(S65="PASS",IF(AA65&lt;&gt;"","AT_RISK",IF(AC65&lt;&gt;"","CLOSED","PASSING")),"COVERED")))))</f>
        <v/>
      </c>
      <c r="AC65" s="16" t="inlineStr"/>
      <c r="AD65" s="16" t="inlineStr"/>
      <c r="AE65" s="16" t="inlineStr"/>
      <c r="AF65" s="16" t="inlineStr">
        <is>
          <t>1.0.0</t>
        </is>
      </c>
      <c r="AG65" s="16" t="inlineStr">
        <is>
          <t>ZUBoard 1CG / Basys 3</t>
        </is>
      </c>
      <c r="AH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is>
          <t>Functional</t>
        </is>
      </c>
      <c r="O66" s="16" t="inlineStr">
        <is>
          <t>ALL</t>
        </is>
      </c>
      <c r="P66" s="16" t="inlineStr"/>
      <c r="Q66" s="16" t="inlineStr">
        <is>
          <t>vhdl/buffered_axi_lite_uart.vhd</t>
        </is>
      </c>
      <c r="R66" s="16" t="inlineStr">
        <is>
          <t>RTL</t>
        </is>
      </c>
      <c r="S66" s="16" t="inlineStr">
        <is>
          <t>PASS</t>
        </is>
      </c>
      <c r="T66" s="16" t="inlineStr">
        <is>
          <t>2026-04-16</t>
        </is>
      </c>
      <c r="U66" s="16" t="inlineStr">
        <is>
          <t>39c48ee</t>
        </is>
      </c>
      <c r="V66" s="16" t="inlineStr">
        <is>
          <t>ip/buffered_axi_lite_uart/tb/scripts/vivado/xsim.log</t>
        </is>
      </c>
      <c r="W66" s="16" t="inlineStr">
        <is>
          <t>NOT_RUN</t>
        </is>
      </c>
      <c r="X66" s="16" t="inlineStr"/>
      <c r="AA66" s="16" t="inlineStr"/>
      <c r="AB66" s="17">
        <f>IF(K66="WAIVED","WAIVED",IF(H66="","OPEN",IF(S66="BLOCKED","BLOCKED",IF(S66="FAIL","FAILING",IF(S66="PASS",IF(AA66&lt;&gt;"","AT_RISK",IF(AC66&lt;&gt;"","CLOSED","PASSING")),"COVERED")))))</f>
        <v/>
      </c>
      <c r="AC66" s="16" t="inlineStr"/>
      <c r="AD66" s="16" t="inlineStr"/>
      <c r="AE66" s="16" t="inlineStr"/>
      <c r="AF66" s="16" t="inlineStr">
        <is>
          <t>1.0.0</t>
        </is>
      </c>
      <c r="AG66" s="16" t="inlineStr">
        <is>
          <t>ZUBoard 1CG / Basys 3</t>
        </is>
      </c>
      <c r="AH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is>
          <t>Functional</t>
        </is>
      </c>
      <c r="O67" s="16" t="inlineStr">
        <is>
          <t>ALL</t>
        </is>
      </c>
      <c r="P67" s="16" t="inlineStr"/>
      <c r="Q67" s="16" t="inlineStr">
        <is>
          <t>vhdl/buffered_axi_lite_uart.vhd</t>
        </is>
      </c>
      <c r="R67" s="16" t="inlineStr">
        <is>
          <t>RTL</t>
        </is>
      </c>
      <c r="S67" s="16" t="inlineStr">
        <is>
          <t>PASS</t>
        </is>
      </c>
      <c r="T67" s="16" t="inlineStr">
        <is>
          <t>2026-04-16</t>
        </is>
      </c>
      <c r="U67" s="16" t="inlineStr">
        <is>
          <t>39c48ee</t>
        </is>
      </c>
      <c r="V67" s="16" t="inlineStr">
        <is>
          <t>ip/buffered_axi_lite_uart/tb/scripts/vivado/xsim.log</t>
        </is>
      </c>
      <c r="W67" s="16" t="inlineStr">
        <is>
          <t>NOT_RUN</t>
        </is>
      </c>
      <c r="X67" s="16" t="inlineStr"/>
      <c r="AA67" s="16" t="inlineStr"/>
      <c r="AB67" s="17">
        <f>IF(K67="WAIVED","WAIVED",IF(H67="","OPEN",IF(S67="BLOCKED","BLOCKED",IF(S67="FAIL","FAILING",IF(S67="PASS",IF(AA67&lt;&gt;"","AT_RISK",IF(AC67&lt;&gt;"","CLOSED","PASSING")),"COVERED")))))</f>
        <v/>
      </c>
      <c r="AC67" s="16" t="inlineStr"/>
      <c r="AD67" s="16" t="inlineStr"/>
      <c r="AE67" s="16" t="inlineStr"/>
      <c r="AF67" s="16" t="inlineStr">
        <is>
          <t>1.0.0</t>
        </is>
      </c>
      <c r="AG67" s="16" t="inlineStr">
        <is>
          <t>ZUBoard 1CG / Basys 3</t>
        </is>
      </c>
      <c r="AH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is>
          <t>Functional</t>
        </is>
      </c>
      <c r="O68" s="16" t="inlineStr">
        <is>
          <t>ALL</t>
        </is>
      </c>
      <c r="P68" s="16" t="inlineStr"/>
      <c r="Q68" s="16" t="inlineStr">
        <is>
          <t>vhdl/buffered_axi_lite_uart.vhd</t>
        </is>
      </c>
      <c r="R68" s="16" t="inlineStr">
        <is>
          <t>RTL</t>
        </is>
      </c>
      <c r="S68" s="16" t="inlineStr">
        <is>
          <t>PASS</t>
        </is>
      </c>
      <c r="T68" s="16" t="inlineStr">
        <is>
          <t>2026-04-16</t>
        </is>
      </c>
      <c r="U68" s="16" t="inlineStr">
        <is>
          <t>39c48ee</t>
        </is>
      </c>
      <c r="V68" s="16" t="inlineStr">
        <is>
          <t>ip/buffered_axi_lite_uart/tb/scripts/vivado/xsim.log</t>
        </is>
      </c>
      <c r="W68" s="16" t="inlineStr">
        <is>
          <t>NOT_RUN</t>
        </is>
      </c>
      <c r="X68" s="16" t="inlineStr"/>
      <c r="AA68" s="16" t="inlineStr"/>
      <c r="AB68" s="17">
        <f>IF(K68="WAIVED","WAIVED",IF(H68="","OPEN",IF(S68="BLOCKED","BLOCKED",IF(S68="FAIL","FAILING",IF(S68="PASS",IF(AA68&lt;&gt;"","AT_RISK",IF(AC68&lt;&gt;"","CLOSED","PASSING")),"COVERED")))))</f>
        <v/>
      </c>
      <c r="AC68" s="16" t="inlineStr"/>
      <c r="AD68" s="16" t="inlineStr"/>
      <c r="AE68" s="16" t="inlineStr"/>
      <c r="AF68" s="16" t="inlineStr">
        <is>
          <t>1.0.0</t>
        </is>
      </c>
      <c r="AG68" s="16" t="inlineStr">
        <is>
          <t>ZUBoard 1CG / Basys 3</t>
        </is>
      </c>
      <c r="AH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is>
          <t>Functional</t>
        </is>
      </c>
      <c r="O69" s="16" t="inlineStr">
        <is>
          <t>ALL</t>
        </is>
      </c>
      <c r="P69" s="16" t="inlineStr"/>
      <c r="Q69" s="16" t="inlineStr">
        <is>
          <t>vhdl/buffered_axi_lite_uart.vhd</t>
        </is>
      </c>
      <c r="R69" s="16" t="inlineStr">
        <is>
          <t>RTL</t>
        </is>
      </c>
      <c r="S69" s="16" t="inlineStr">
        <is>
          <t>PASS</t>
        </is>
      </c>
      <c r="T69" s="16" t="inlineStr">
        <is>
          <t>2026-04-16</t>
        </is>
      </c>
      <c r="U69" s="16" t="inlineStr">
        <is>
          <t>39c48ee</t>
        </is>
      </c>
      <c r="V69" s="16" t="inlineStr">
        <is>
          <t>ip/buffered_axi_lite_uart/tb/scripts/vivado/xsim.log</t>
        </is>
      </c>
      <c r="W69" s="16" t="inlineStr">
        <is>
          <t>NOT_RUN</t>
        </is>
      </c>
      <c r="X69" s="16" t="inlineStr"/>
      <c r="AA69" s="16" t="inlineStr"/>
      <c r="AB69" s="17">
        <f>IF(K69="WAIVED","WAIVED",IF(H69="","OPEN",IF(S69="BLOCKED","BLOCKED",IF(S69="FAIL","FAILING",IF(S69="PASS",IF(AA69&lt;&gt;"","AT_RISK",IF(AC69&lt;&gt;"","CLOSED","PASSING")),"COVERED")))))</f>
        <v/>
      </c>
      <c r="AC69" s="16" t="inlineStr"/>
      <c r="AD69" s="16" t="inlineStr"/>
      <c r="AE69" s="16" t="inlineStr"/>
      <c r="AF69" s="16" t="inlineStr">
        <is>
          <t>1.0.0</t>
        </is>
      </c>
      <c r="AG69" s="16" t="inlineStr">
        <is>
          <t>ZUBoard 1CG / Basys 3</t>
        </is>
      </c>
      <c r="AH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is>
          <t>Functional</t>
        </is>
      </c>
      <c r="O70" s="16" t="inlineStr">
        <is>
          <t>ALL</t>
        </is>
      </c>
      <c r="P70" s="16" t="inlineStr"/>
      <c r="Q70" s="16" t="inlineStr">
        <is>
          <t>vhdl/buffered_axi_lite_uart.vhd</t>
        </is>
      </c>
      <c r="R70" s="16" t="inlineStr">
        <is>
          <t>RTL</t>
        </is>
      </c>
      <c r="S70" s="16" t="inlineStr">
        <is>
          <t>PASS</t>
        </is>
      </c>
      <c r="T70" s="16" t="inlineStr">
        <is>
          <t>2026-04-16</t>
        </is>
      </c>
      <c r="U70" s="16" t="inlineStr">
        <is>
          <t>39c48ee</t>
        </is>
      </c>
      <c r="V70" s="16" t="inlineStr">
        <is>
          <t>ip/buffered_axi_lite_uart/tb/scripts/vivado/xsim.log</t>
        </is>
      </c>
      <c r="W70" s="16" t="inlineStr">
        <is>
          <t>NOT_RUN</t>
        </is>
      </c>
      <c r="X70" s="16" t="inlineStr"/>
      <c r="AA70" s="16" t="inlineStr"/>
      <c r="AB70" s="17">
        <f>IF(K70="WAIVED","WAIVED",IF(H70="","OPEN",IF(S70="BLOCKED","BLOCKED",IF(S70="FAIL","FAILING",IF(S70="PASS",IF(AA70&lt;&gt;"","AT_RISK",IF(AC70&lt;&gt;"","CLOSED","PASSING")),"COVERED")))))</f>
        <v/>
      </c>
      <c r="AC70" s="16" t="inlineStr"/>
      <c r="AD70" s="16" t="inlineStr"/>
      <c r="AE70" s="16" t="inlineStr"/>
      <c r="AF70" s="16" t="inlineStr">
        <is>
          <t>1.0.0</t>
        </is>
      </c>
      <c r="AG70" s="16" t="inlineStr">
        <is>
          <t>ZUBoard 1CG / Basys 3</t>
        </is>
      </c>
      <c r="AH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is>
          <t>Functional</t>
        </is>
      </c>
      <c r="O71" s="16" t="inlineStr">
        <is>
          <t>ALL</t>
        </is>
      </c>
      <c r="P71" s="16" t="inlineStr"/>
      <c r="Q71" s="16" t="inlineStr">
        <is>
          <t>vhdl/buffered_axi_lite_uart.vhd</t>
        </is>
      </c>
      <c r="R71" s="16" t="inlineStr">
        <is>
          <t>RTL</t>
        </is>
      </c>
      <c r="S71" s="16" t="inlineStr">
        <is>
          <t>PASS</t>
        </is>
      </c>
      <c r="T71" s="16" t="inlineStr">
        <is>
          <t>2026-04-16</t>
        </is>
      </c>
      <c r="U71" s="16" t="inlineStr">
        <is>
          <t>39c48ee</t>
        </is>
      </c>
      <c r="V71" s="16" t="inlineStr">
        <is>
          <t>ip/buffered_axi_lite_uart/tb/scripts/vivado/xsim.log</t>
        </is>
      </c>
      <c r="W71" s="16" t="inlineStr">
        <is>
          <t>NOT_RUN</t>
        </is>
      </c>
      <c r="X71" s="16" t="inlineStr"/>
      <c r="AA71" s="16" t="inlineStr"/>
      <c r="AB71" s="17">
        <f>IF(K71="WAIVED","WAIVED",IF(H71="","OPEN",IF(S71="BLOCKED","BLOCKED",IF(S71="FAIL","FAILING",IF(S71="PASS",IF(AA71&lt;&gt;"","AT_RISK",IF(AC71&lt;&gt;"","CLOSED","PASSING")),"COVERED")))))</f>
        <v/>
      </c>
      <c r="AC71" s="16" t="inlineStr"/>
      <c r="AD71" s="16" t="inlineStr"/>
      <c r="AE71" s="16" t="inlineStr"/>
      <c r="AF71" s="16" t="inlineStr">
        <is>
          <t>1.0.0</t>
        </is>
      </c>
      <c r="AG71" s="16" t="inlineStr">
        <is>
          <t>ZUBoard 1CG / Basys 3</t>
        </is>
      </c>
      <c r="AH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is>
          <t>Functional</t>
        </is>
      </c>
      <c r="O72" s="16" t="inlineStr">
        <is>
          <t>ALL</t>
        </is>
      </c>
      <c r="P72" s="16" t="inlineStr"/>
      <c r="Q72" s="16" t="inlineStr">
        <is>
          <t>vhdl/buffered_axi_lite_uart.vhd</t>
        </is>
      </c>
      <c r="R72" s="16" t="inlineStr">
        <is>
          <t>RTL</t>
        </is>
      </c>
      <c r="S72" s="16" t="inlineStr">
        <is>
          <t>PASS</t>
        </is>
      </c>
      <c r="T72" s="16" t="inlineStr">
        <is>
          <t>2026-04-16</t>
        </is>
      </c>
      <c r="U72" s="16" t="inlineStr">
        <is>
          <t>39c48ee</t>
        </is>
      </c>
      <c r="V72" s="16" t="inlineStr">
        <is>
          <t>ip/buffered_axi_lite_uart/tb/scripts/vivado/xsim.log</t>
        </is>
      </c>
      <c r="W72" s="16" t="inlineStr">
        <is>
          <t>NOT_RUN</t>
        </is>
      </c>
      <c r="X72" s="16" t="inlineStr"/>
      <c r="AA72" s="16" t="inlineStr"/>
      <c r="AB72" s="17">
        <f>IF(K72="WAIVED","WAIVED",IF(H72="","OPEN",IF(S72="BLOCKED","BLOCKED",IF(S72="FAIL","FAILING",IF(S72="PASS",IF(AA72&lt;&gt;"","AT_RISK",IF(AC72&lt;&gt;"","CLOSED","PASSING")),"COVERED")))))</f>
        <v/>
      </c>
      <c r="AC72" s="16" t="inlineStr"/>
      <c r="AD72" s="16" t="inlineStr"/>
      <c r="AE72" s="16" t="inlineStr"/>
      <c r="AF72" s="16" t="inlineStr">
        <is>
          <t>1.0.0</t>
        </is>
      </c>
      <c r="AG72" s="16" t="inlineStr">
        <is>
          <t>ZUBoard 1CG / Basys 3</t>
        </is>
      </c>
      <c r="AH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is>
          <t>Functional</t>
        </is>
      </c>
      <c r="O73" s="16" t="inlineStr">
        <is>
          <t>ALL</t>
        </is>
      </c>
      <c r="P73" s="16" t="inlineStr"/>
      <c r="Q73" s="16" t="inlineStr">
        <is>
          <t>vhdl/buffered_axi_lite_uart.vhd</t>
        </is>
      </c>
      <c r="R73" s="16" t="inlineStr">
        <is>
          <t>RTL</t>
        </is>
      </c>
      <c r="S73" s="16" t="inlineStr">
        <is>
          <t>PASS</t>
        </is>
      </c>
      <c r="T73" s="16" t="inlineStr">
        <is>
          <t>2026-04-16</t>
        </is>
      </c>
      <c r="U73" s="16" t="inlineStr">
        <is>
          <t>39c48ee</t>
        </is>
      </c>
      <c r="V73" s="16" t="inlineStr">
        <is>
          <t>ip/buffered_axi_lite_uart/tb/scripts/vivado/xsim.log</t>
        </is>
      </c>
      <c r="W73" s="16" t="inlineStr">
        <is>
          <t>NOT_RUN</t>
        </is>
      </c>
      <c r="X73" s="16" t="inlineStr"/>
      <c r="AA73" s="16" t="inlineStr"/>
      <c r="AB73" s="17">
        <f>IF(K73="WAIVED","WAIVED",IF(H73="","OPEN",IF(S73="BLOCKED","BLOCKED",IF(S73="FAIL","FAILING",IF(S73="PASS",IF(AA73&lt;&gt;"","AT_RISK",IF(AC73&lt;&gt;"","CLOSED","PASSING")),"COVERED")))))</f>
        <v/>
      </c>
      <c r="AC73" s="16" t="inlineStr"/>
      <c r="AD73" s="16" t="inlineStr"/>
      <c r="AE73" s="16" t="inlineStr"/>
      <c r="AF73" s="16" t="inlineStr">
        <is>
          <t>1.0.0</t>
        </is>
      </c>
      <c r="AG73" s="16" t="inlineStr">
        <is>
          <t>ZUBoard 1CG / Basys 3</t>
        </is>
      </c>
      <c r="AH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is>
          <t>Functional</t>
        </is>
      </c>
      <c r="O74" s="16" t="inlineStr">
        <is>
          <t>ALL</t>
        </is>
      </c>
      <c r="P74" s="16" t="inlineStr"/>
      <c r="Q74" s="16" t="inlineStr">
        <is>
          <t>vhdl/buffered_axi_lite_uart.vhd</t>
        </is>
      </c>
      <c r="R74" s="16" t="inlineStr">
        <is>
          <t>RTL</t>
        </is>
      </c>
      <c r="S74" s="16" t="inlineStr">
        <is>
          <t>PASS</t>
        </is>
      </c>
      <c r="T74" s="16" t="inlineStr">
        <is>
          <t>2026-04-16</t>
        </is>
      </c>
      <c r="U74" s="16" t="inlineStr">
        <is>
          <t>39c48ee</t>
        </is>
      </c>
      <c r="V74" s="16" t="inlineStr">
        <is>
          <t>ip/buffered_axi_lite_uart/tb/scripts/vivado/xsim.log</t>
        </is>
      </c>
      <c r="W74" s="16" t="inlineStr">
        <is>
          <t>NOT_RUN</t>
        </is>
      </c>
      <c r="X74" s="16" t="inlineStr"/>
      <c r="AA74" s="16" t="inlineStr"/>
      <c r="AB74" s="17">
        <f>IF(K74="WAIVED","WAIVED",IF(H74="","OPEN",IF(S74="BLOCKED","BLOCKED",IF(S74="FAIL","FAILING",IF(S74="PASS",IF(AA74&lt;&gt;"","AT_RISK",IF(AC74&lt;&gt;"","CLOSED","PASSING")),"COVERED")))))</f>
        <v/>
      </c>
      <c r="AC74" s="16" t="inlineStr"/>
      <c r="AD74" s="16" t="inlineStr"/>
      <c r="AE74" s="16" t="inlineStr"/>
      <c r="AF74" s="16" t="inlineStr">
        <is>
          <t>1.0.0</t>
        </is>
      </c>
      <c r="AG74" s="16" t="inlineStr">
        <is>
          <t>ZUBoard 1CG / Basys 3</t>
        </is>
      </c>
      <c r="AH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is>
          <t>Functional</t>
        </is>
      </c>
      <c r="O75" s="16" t="inlineStr">
        <is>
          <t>ALL</t>
        </is>
      </c>
      <c r="P75" s="16" t="inlineStr"/>
      <c r="Q75" s="16" t="inlineStr">
        <is>
          <t>vhdl/buffered_axi_lite_uart.vhd</t>
        </is>
      </c>
      <c r="R75" s="16" t="inlineStr">
        <is>
          <t>RTL</t>
        </is>
      </c>
      <c r="S75" s="16" t="inlineStr">
        <is>
          <t>PASS</t>
        </is>
      </c>
      <c r="T75" s="16" t="inlineStr">
        <is>
          <t>2026-04-16</t>
        </is>
      </c>
      <c r="U75" s="16" t="inlineStr">
        <is>
          <t>39c48ee</t>
        </is>
      </c>
      <c r="V75" s="16" t="inlineStr">
        <is>
          <t>ip/buffered_axi_lite_uart/tb/scripts/vivado/xsim.log</t>
        </is>
      </c>
      <c r="W75" s="16" t="inlineStr">
        <is>
          <t>NOT_RUN</t>
        </is>
      </c>
      <c r="X75" s="16" t="inlineStr"/>
      <c r="AA75" s="16" t="inlineStr"/>
      <c r="AB75" s="17">
        <f>IF(K75="WAIVED","WAIVED",IF(H75="","OPEN",IF(S75="BLOCKED","BLOCKED",IF(S75="FAIL","FAILING",IF(S75="PASS",IF(AA75&lt;&gt;"","AT_RISK",IF(AC75&lt;&gt;"","CLOSED","PASSING")),"COVERED")))))</f>
        <v/>
      </c>
      <c r="AC75" s="16" t="inlineStr"/>
      <c r="AD75" s="16" t="inlineStr"/>
      <c r="AE75" s="16" t="inlineStr"/>
      <c r="AF75" s="16" t="inlineStr">
        <is>
          <t>1.0.0</t>
        </is>
      </c>
      <c r="AG75" s="16" t="inlineStr">
        <is>
          <t>ZUBoard 1CG / Basys 3</t>
        </is>
      </c>
      <c r="AH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is>
          <t>Functional</t>
        </is>
      </c>
      <c r="O76" s="16" t="inlineStr">
        <is>
          <t>ALL</t>
        </is>
      </c>
      <c r="P76" s="16" t="inlineStr"/>
      <c r="Q76" s="16" t="inlineStr">
        <is>
          <t>vhdl/buffered_axi_lite_uart.vhd</t>
        </is>
      </c>
      <c r="R76" s="16" t="inlineStr">
        <is>
          <t>RTL</t>
        </is>
      </c>
      <c r="S76" s="16" t="inlineStr">
        <is>
          <t>PASS</t>
        </is>
      </c>
      <c r="T76" s="16" t="inlineStr">
        <is>
          <t>2026-04-16</t>
        </is>
      </c>
      <c r="U76" s="16" t="inlineStr">
        <is>
          <t>39c48ee</t>
        </is>
      </c>
      <c r="V76" s="16" t="inlineStr">
        <is>
          <t>ip/buffered_axi_lite_uart/tb/scripts/vivado/xsim.log</t>
        </is>
      </c>
      <c r="W76" s="16" t="inlineStr">
        <is>
          <t>NOT_RUN</t>
        </is>
      </c>
      <c r="X76" s="16" t="inlineStr"/>
      <c r="AA76" s="16" t="inlineStr"/>
      <c r="AB76" s="17">
        <f>IF(K76="WAIVED","WAIVED",IF(H76="","OPEN",IF(S76="BLOCKED","BLOCKED",IF(S76="FAIL","FAILING",IF(S76="PASS",IF(AA76&lt;&gt;"","AT_RISK",IF(AC76&lt;&gt;"","CLOSED","PASSING")),"COVERED")))))</f>
        <v/>
      </c>
      <c r="AC76" s="16" t="inlineStr"/>
      <c r="AD76" s="16" t="inlineStr"/>
      <c r="AE76" s="16" t="inlineStr"/>
      <c r="AF76" s="16" t="inlineStr">
        <is>
          <t>1.0.0</t>
        </is>
      </c>
      <c r="AG76" s="16" t="inlineStr">
        <is>
          <t>ZUBoard 1CG / Basys 3</t>
        </is>
      </c>
      <c r="AH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is>
          <t>Structural</t>
        </is>
      </c>
      <c r="O77" s="16" t="inlineStr">
        <is>
          <t>ALL</t>
        </is>
      </c>
      <c r="P77" s="16" t="inlineStr"/>
      <c r="Q77" s="16" t="inlineStr">
        <is>
          <t>vhdl/buffered_axi_lite_uart.vhd</t>
        </is>
      </c>
      <c r="R77" s="16" t="inlineStr">
        <is>
          <t>RTL</t>
        </is>
      </c>
      <c r="S77" s="16" t="inlineStr">
        <is>
          <t>PASS</t>
        </is>
      </c>
      <c r="T77" s="16" t="inlineStr">
        <is>
          <t>2026-04-16</t>
        </is>
      </c>
      <c r="U77" s="16" t="inlineStr">
        <is>
          <t>39c48ee</t>
        </is>
      </c>
      <c r="V77" s="16" t="inlineStr">
        <is>
          <t>ip/buffered_axi_lite_uart/tb/scripts/vivado/xsim.log</t>
        </is>
      </c>
      <c r="W77" s="16" t="inlineStr">
        <is>
          <t>NOT_RUN</t>
        </is>
      </c>
      <c r="X77" s="16" t="inlineStr"/>
      <c r="AA77" s="16" t="inlineStr"/>
      <c r="AB77" s="17">
        <f>IF(K77="WAIVED","WAIVED",IF(H77="","OPEN",IF(S77="BLOCKED","BLOCKED",IF(S77="FAIL","FAILING",IF(S77="PASS",IF(AA77&lt;&gt;"","AT_RISK",IF(AC77&lt;&gt;"","CLOSED","PASSING")),"COVERED")))))</f>
        <v/>
      </c>
      <c r="AC77" s="16" t="inlineStr"/>
      <c r="AD77" s="16" t="inlineStr"/>
      <c r="AE77" s="16" t="inlineStr"/>
      <c r="AF77" s="16" t="inlineStr">
        <is>
          <t>1.0.0</t>
        </is>
      </c>
      <c r="AG77" s="16" t="inlineStr">
        <is>
          <t>ZUBoard 1CG / Basys 3</t>
        </is>
      </c>
      <c r="AH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is>
          <t>Structural</t>
        </is>
      </c>
      <c r="O78" s="16" t="inlineStr">
        <is>
          <t>ALL</t>
        </is>
      </c>
      <c r="P78" s="16" t="inlineStr"/>
      <c r="Q78" s="16" t="inlineStr">
        <is>
          <t>vhdl/buffered_axi_lite_uart.vhd</t>
        </is>
      </c>
      <c r="R78" s="16" t="inlineStr">
        <is>
          <t>RTL</t>
        </is>
      </c>
      <c r="S78" s="16" t="inlineStr">
        <is>
          <t>PASS</t>
        </is>
      </c>
      <c r="T78" s="16" t="inlineStr">
        <is>
          <t>2026-04-16</t>
        </is>
      </c>
      <c r="U78" s="16" t="inlineStr">
        <is>
          <t>39c48ee</t>
        </is>
      </c>
      <c r="V78" s="16" t="inlineStr">
        <is>
          <t>ip/buffered_axi_lite_uart/tb/scripts/vivado/xsim.log</t>
        </is>
      </c>
      <c r="W78" s="16" t="inlineStr">
        <is>
          <t>NOT_RUN</t>
        </is>
      </c>
      <c r="X78" s="16" t="inlineStr"/>
      <c r="AA78" s="16" t="inlineStr"/>
      <c r="AB78" s="17">
        <f>IF(K78="WAIVED","WAIVED",IF(H78="","OPEN",IF(S78="BLOCKED","BLOCKED",IF(S78="FAIL","FAILING",IF(S78="PASS",IF(AA78&lt;&gt;"","AT_RISK",IF(AC78&lt;&gt;"","CLOSED","PASSING")),"COVERED")))))</f>
        <v/>
      </c>
      <c r="AC78" s="16" t="inlineStr"/>
      <c r="AD78" s="16" t="inlineStr"/>
      <c r="AE78" s="16" t="inlineStr"/>
      <c r="AF78" s="16" t="inlineStr">
        <is>
          <t>1.0.0</t>
        </is>
      </c>
      <c r="AG78" s="16" t="inlineStr">
        <is>
          <t>ZUBoard 1CG / Basys 3</t>
        </is>
      </c>
      <c r="AH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is>
          <t>Structural</t>
        </is>
      </c>
      <c r="O79" s="16" t="inlineStr">
        <is>
          <t>ALL</t>
        </is>
      </c>
      <c r="P79" s="16" t="inlineStr"/>
      <c r="Q79" s="16" t="inlineStr">
        <is>
          <t>vhdl/buffered_axi_lite_uart.vhd</t>
        </is>
      </c>
      <c r="R79" s="16" t="inlineStr">
        <is>
          <t>RTL</t>
        </is>
      </c>
      <c r="S79" s="16" t="inlineStr">
        <is>
          <t>PASS</t>
        </is>
      </c>
      <c r="T79" s="16" t="inlineStr">
        <is>
          <t>2026-04-16</t>
        </is>
      </c>
      <c r="U79" s="16" t="inlineStr">
        <is>
          <t>39c48ee</t>
        </is>
      </c>
      <c r="V79" s="16" t="inlineStr">
        <is>
          <t>ip/buffered_axi_lite_uart/tb/scripts/vivado/xsim.log</t>
        </is>
      </c>
      <c r="W79" s="16" t="inlineStr">
        <is>
          <t>NOT_RUN</t>
        </is>
      </c>
      <c r="X79" s="16" t="inlineStr"/>
      <c r="AA79" s="16" t="inlineStr"/>
      <c r="AB79" s="17">
        <f>IF(K79="WAIVED","WAIVED",IF(H79="","OPEN",IF(S79="BLOCKED","BLOCKED",IF(S79="FAIL","FAILING",IF(S79="PASS",IF(AA79&lt;&gt;"","AT_RISK",IF(AC79&lt;&gt;"","CLOSED","PASSING")),"COVERED")))))</f>
        <v/>
      </c>
      <c r="AC79" s="16" t="inlineStr"/>
      <c r="AD79" s="16" t="inlineStr"/>
      <c r="AE79" s="16" t="inlineStr"/>
      <c r="AF79" s="16" t="inlineStr">
        <is>
          <t>1.0.0</t>
        </is>
      </c>
      <c r="AG79" s="16" t="inlineStr">
        <is>
          <t>ZUBoard 1CG / Basys 3</t>
        </is>
      </c>
      <c r="AH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is>
          <t>Structural</t>
        </is>
      </c>
      <c r="O80" s="16" t="inlineStr">
        <is>
          <t>ALL</t>
        </is>
      </c>
      <c r="P80" s="16" t="inlineStr"/>
      <c r="Q80" s="16" t="inlineStr">
        <is>
          <t>vhdl/buffered_axi_lite_uart.vhd</t>
        </is>
      </c>
      <c r="R80" s="16" t="inlineStr">
        <is>
          <t>RTL</t>
        </is>
      </c>
      <c r="S80" s="16" t="inlineStr">
        <is>
          <t>PASS</t>
        </is>
      </c>
      <c r="T80" s="16" t="inlineStr">
        <is>
          <t>2026-04-16</t>
        </is>
      </c>
      <c r="U80" s="16" t="inlineStr">
        <is>
          <t>39c48ee</t>
        </is>
      </c>
      <c r="V80" s="16" t="inlineStr">
        <is>
          <t>ip/buffered_axi_lite_uart/tb/scripts/vivado/xsim.log</t>
        </is>
      </c>
      <c r="W80" s="16" t="inlineStr">
        <is>
          <t>NOT_RUN</t>
        </is>
      </c>
      <c r="X80" s="16" t="inlineStr"/>
      <c r="AA80" s="16" t="inlineStr"/>
      <c r="AB80" s="17">
        <f>IF(K80="WAIVED","WAIVED",IF(H80="","OPEN",IF(S80="BLOCKED","BLOCKED",IF(S80="FAIL","FAILING",IF(S80="PASS",IF(AA80&lt;&gt;"","AT_RISK",IF(AC80&lt;&gt;"","CLOSED","PASSING")),"COVERED")))))</f>
        <v/>
      </c>
      <c r="AC80" s="16" t="inlineStr"/>
      <c r="AD80" s="16" t="inlineStr"/>
      <c r="AE80" s="16" t="inlineStr"/>
      <c r="AF80" s="16" t="inlineStr">
        <is>
          <t>1.0.0</t>
        </is>
      </c>
      <c r="AG80" s="16" t="inlineStr">
        <is>
          <t>ZUBoard 1CG / Basys 3</t>
        </is>
      </c>
      <c r="AH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is>
          <t>Structural</t>
        </is>
      </c>
      <c r="O81" s="16" t="inlineStr">
        <is>
          <t>ALL</t>
        </is>
      </c>
      <c r="P81" s="16" t="inlineStr"/>
      <c r="Q81" s="16" t="inlineStr">
        <is>
          <t>vhdl/buffered_axi_lite_uart.vhd</t>
        </is>
      </c>
      <c r="R81" s="16" t="inlineStr">
        <is>
          <t>RTL</t>
        </is>
      </c>
      <c r="S81" s="16" t="inlineStr">
        <is>
          <t>PASS</t>
        </is>
      </c>
      <c r="T81" s="16" t="inlineStr">
        <is>
          <t>2026-04-16</t>
        </is>
      </c>
      <c r="U81" s="16" t="inlineStr">
        <is>
          <t>39c48ee</t>
        </is>
      </c>
      <c r="V81" s="16" t="inlineStr">
        <is>
          <t>ip/buffered_axi_lite_uart/tb/scripts/vivado/xsim.log</t>
        </is>
      </c>
      <c r="W81" s="16" t="inlineStr">
        <is>
          <t>NOT_RUN</t>
        </is>
      </c>
      <c r="X81" s="16" t="inlineStr"/>
      <c r="AA81" s="16" t="inlineStr"/>
      <c r="AB81" s="17">
        <f>IF(K81="WAIVED","WAIVED",IF(H81="","OPEN",IF(S81="BLOCKED","BLOCKED",IF(S81="FAIL","FAILING",IF(S81="PASS",IF(AA81&lt;&gt;"","AT_RISK",IF(AC81&lt;&gt;"","CLOSED","PASSING")),"COVERED")))))</f>
        <v/>
      </c>
      <c r="AC81" s="16" t="inlineStr"/>
      <c r="AD81" s="16" t="inlineStr"/>
      <c r="AE81" s="16" t="inlineStr"/>
      <c r="AF81" s="16" t="inlineStr">
        <is>
          <t>1.0.0</t>
        </is>
      </c>
      <c r="AG81" s="16" t="inlineStr">
        <is>
          <t>ZUBoard 1CG / Basys 3</t>
        </is>
      </c>
      <c r="AH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is>
          <t>Structural</t>
        </is>
      </c>
      <c r="O82" s="16" t="inlineStr">
        <is>
          <t>ALL</t>
        </is>
      </c>
      <c r="P82" s="16" t="inlineStr"/>
      <c r="Q82" s="16" t="inlineStr">
        <is>
          <t>vhdl/buffered_axi_lite_uart.vhd</t>
        </is>
      </c>
      <c r="R82" s="16" t="inlineStr">
        <is>
          <t>RTL</t>
        </is>
      </c>
      <c r="S82" s="16" t="inlineStr">
        <is>
          <t>PASS</t>
        </is>
      </c>
      <c r="T82" s="16" t="inlineStr">
        <is>
          <t>2026-04-16</t>
        </is>
      </c>
      <c r="U82" s="16" t="inlineStr">
        <is>
          <t>39c48ee</t>
        </is>
      </c>
      <c r="V82" s="16" t="inlineStr">
        <is>
          <t>ip/buffered_axi_lite_uart/tb/scripts/vivado/xsim.log</t>
        </is>
      </c>
      <c r="W82" s="16" t="inlineStr">
        <is>
          <t>NOT_RUN</t>
        </is>
      </c>
      <c r="X82" s="16" t="inlineStr"/>
      <c r="AA82" s="16" t="inlineStr"/>
      <c r="AB82" s="17">
        <f>IF(K82="WAIVED","WAIVED",IF(H82="","OPEN",IF(S82="BLOCKED","BLOCKED",IF(S82="FAIL","FAILING",IF(S82="PASS",IF(AA82&lt;&gt;"","AT_RISK",IF(AC82&lt;&gt;"","CLOSED","PASSING")),"COVERED")))))</f>
        <v/>
      </c>
      <c r="AC82" s="16" t="inlineStr"/>
      <c r="AD82" s="16" t="inlineStr"/>
      <c r="AE82" s="16" t="inlineStr"/>
      <c r="AF82" s="16" t="inlineStr">
        <is>
          <t>1.0.0</t>
        </is>
      </c>
      <c r="AG82" s="16" t="inlineStr">
        <is>
          <t>ZUBoard 1CG / Basys 3</t>
        </is>
      </c>
      <c r="AH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is>
          <t>Structural</t>
        </is>
      </c>
      <c r="O83" s="16" t="inlineStr">
        <is>
          <t>ALL</t>
        </is>
      </c>
      <c r="P83" s="16" t="inlineStr"/>
      <c r="Q83" s="16" t="inlineStr">
        <is>
          <t>vhdl/buffered_axi_lite_uart.vhd</t>
        </is>
      </c>
      <c r="R83" s="16" t="inlineStr">
        <is>
          <t>RTL</t>
        </is>
      </c>
      <c r="S83" s="16" t="inlineStr">
        <is>
          <t>PASS</t>
        </is>
      </c>
      <c r="T83" s="16" t="inlineStr">
        <is>
          <t>2026-04-16</t>
        </is>
      </c>
      <c r="U83" s="16" t="inlineStr">
        <is>
          <t>39c48ee</t>
        </is>
      </c>
      <c r="V83" s="16" t="inlineStr">
        <is>
          <t>ip/buffered_axi_lite_uart/tb/scripts/vivado/xsim.log</t>
        </is>
      </c>
      <c r="W83" s="16" t="inlineStr">
        <is>
          <t>NOT_RUN</t>
        </is>
      </c>
      <c r="X83" s="16" t="inlineStr"/>
      <c r="AA83" s="16" t="inlineStr"/>
      <c r="AB83" s="17">
        <f>IF(K83="WAIVED","WAIVED",IF(H83="","OPEN",IF(S83="BLOCKED","BLOCKED",IF(S83="FAIL","FAILING",IF(S83="PASS",IF(AA83&lt;&gt;"","AT_RISK",IF(AC83&lt;&gt;"","CLOSED","PASSING")),"COVERED")))))</f>
        <v/>
      </c>
      <c r="AC83" s="16" t="inlineStr"/>
      <c r="AD83" s="16" t="inlineStr"/>
      <c r="AE83" s="16" t="inlineStr"/>
      <c r="AF83" s="16" t="inlineStr">
        <is>
          <t>1.0.0</t>
        </is>
      </c>
      <c r="AG83" s="16" t="inlineStr">
        <is>
          <t>ZUBoard 1CG / Basys 3</t>
        </is>
      </c>
      <c r="AH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is>
          <t>Structural</t>
        </is>
      </c>
      <c r="O84" s="16" t="inlineStr">
        <is>
          <t>ALL</t>
        </is>
      </c>
      <c r="P84" s="16" t="inlineStr"/>
      <c r="Q84" s="16" t="inlineStr">
        <is>
          <t>vhdl/buffered_axi_lite_uart.vhd</t>
        </is>
      </c>
      <c r="R84" s="16" t="inlineStr">
        <is>
          <t>RTL</t>
        </is>
      </c>
      <c r="S84" s="16" t="inlineStr">
        <is>
          <t>PASS</t>
        </is>
      </c>
      <c r="T84" s="16" t="inlineStr">
        <is>
          <t>2026-04-16</t>
        </is>
      </c>
      <c r="U84" s="16" t="inlineStr">
        <is>
          <t>39c48ee</t>
        </is>
      </c>
      <c r="V84" s="16" t="inlineStr">
        <is>
          <t>ip/buffered_axi_lite_uart/tb/scripts/vivado/xsim.log</t>
        </is>
      </c>
      <c r="W84" s="16" t="inlineStr">
        <is>
          <t>NOT_RUN</t>
        </is>
      </c>
      <c r="X84" s="16" t="inlineStr"/>
      <c r="AA84" s="16" t="inlineStr"/>
      <c r="AB84" s="17">
        <f>IF(K84="WAIVED","WAIVED",IF(H84="","OPEN",IF(S84="BLOCKED","BLOCKED",IF(S84="FAIL","FAILING",IF(S84="PASS",IF(AA84&lt;&gt;"","AT_RISK",IF(AC84&lt;&gt;"","CLOSED","PASSING")),"COVERED")))))</f>
        <v/>
      </c>
      <c r="AC84" s="16" t="inlineStr"/>
      <c r="AD84" s="16" t="inlineStr"/>
      <c r="AE84" s="16" t="inlineStr"/>
      <c r="AF84" s="16" t="inlineStr">
        <is>
          <t>1.0.0</t>
        </is>
      </c>
      <c r="AG84" s="16" t="inlineStr">
        <is>
          <t>ZUBoard 1CG / Basys 3</t>
        </is>
      </c>
      <c r="AH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is>
          <t>Structural</t>
        </is>
      </c>
      <c r="O85" s="16" t="inlineStr">
        <is>
          <t>ALL</t>
        </is>
      </c>
      <c r="P85" s="16" t="inlineStr"/>
      <c r="Q85" s="16" t="inlineStr">
        <is>
          <t>vhdl/buffered_axi_lite_uart.vhd</t>
        </is>
      </c>
      <c r="R85" s="16" t="inlineStr">
        <is>
          <t>RTL</t>
        </is>
      </c>
      <c r="S85" s="16" t="inlineStr">
        <is>
          <t>PASS</t>
        </is>
      </c>
      <c r="T85" s="16" t="inlineStr">
        <is>
          <t>2026-04-16</t>
        </is>
      </c>
      <c r="U85" s="16" t="inlineStr">
        <is>
          <t>39c48ee</t>
        </is>
      </c>
      <c r="V85" s="16" t="inlineStr">
        <is>
          <t>ip/buffered_axi_lite_uart/tb/scripts/vivado/xsim.log</t>
        </is>
      </c>
      <c r="W85" s="16" t="inlineStr">
        <is>
          <t>NOT_RUN</t>
        </is>
      </c>
      <c r="X85" s="16" t="inlineStr"/>
      <c r="AA85" s="16" t="inlineStr"/>
      <c r="AB85" s="17">
        <f>IF(K85="WAIVED","WAIVED",IF(H85="","OPEN",IF(S85="BLOCKED","BLOCKED",IF(S85="FAIL","FAILING",IF(S85="PASS",IF(AA85&lt;&gt;"","AT_RISK",IF(AC85&lt;&gt;"","CLOSED","PASSING")),"COVERED")))))</f>
        <v/>
      </c>
      <c r="AC85" s="16" t="inlineStr"/>
      <c r="AD85" s="16" t="inlineStr"/>
      <c r="AE85" s="16" t="inlineStr"/>
      <c r="AF85" s="16" t="inlineStr">
        <is>
          <t>1.0.0</t>
        </is>
      </c>
      <c r="AG85" s="16" t="inlineStr">
        <is>
          <t>ZUBoard 1CG / Basys 3</t>
        </is>
      </c>
      <c r="AH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is>
          <t>Structural</t>
        </is>
      </c>
      <c r="O86" s="16" t="inlineStr">
        <is>
          <t>ALL</t>
        </is>
      </c>
      <c r="P86" s="16" t="inlineStr"/>
      <c r="Q86" s="16" t="inlineStr">
        <is>
          <t>vhdl/buffered_axi_lite_uart.vhd</t>
        </is>
      </c>
      <c r="R86" s="16" t="inlineStr">
        <is>
          <t>RTL</t>
        </is>
      </c>
      <c r="S86" s="16" t="inlineStr">
        <is>
          <t>PASS</t>
        </is>
      </c>
      <c r="T86" s="16" t="inlineStr">
        <is>
          <t>2026-04-16</t>
        </is>
      </c>
      <c r="U86" s="16" t="inlineStr">
        <is>
          <t>39c48ee</t>
        </is>
      </c>
      <c r="V86" s="16" t="inlineStr">
        <is>
          <t>ip/buffered_axi_lite_uart/tb/scripts/vivado/xsim.log</t>
        </is>
      </c>
      <c r="W86" s="16" t="inlineStr">
        <is>
          <t>NOT_RUN</t>
        </is>
      </c>
      <c r="X86" s="16" t="inlineStr"/>
      <c r="AA86" s="16" t="inlineStr"/>
      <c r="AB86" s="17">
        <f>IF(K86="WAIVED","WAIVED",IF(H86="","OPEN",IF(S86="BLOCKED","BLOCKED",IF(S86="FAIL","FAILING",IF(S86="PASS",IF(AA86&lt;&gt;"","AT_RISK",IF(AC86&lt;&gt;"","CLOSED","PASSING")),"COVERED")))))</f>
        <v/>
      </c>
      <c r="AC86" s="16" t="inlineStr"/>
      <c r="AD86" s="16" t="inlineStr"/>
      <c r="AE86" s="16" t="inlineStr"/>
      <c r="AF86" s="16" t="inlineStr">
        <is>
          <t>1.0.0</t>
        </is>
      </c>
      <c r="AG86" s="16" t="inlineStr">
        <is>
          <t>ZUBoard 1CG / Basys 3</t>
        </is>
      </c>
      <c r="AH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is>
          <t>Structural</t>
        </is>
      </c>
      <c r="O87" s="16" t="inlineStr">
        <is>
          <t>ALL</t>
        </is>
      </c>
      <c r="P87" s="16" t="inlineStr"/>
      <c r="Q87" s="16" t="inlineStr">
        <is>
          <t>vhdl/buffered_axi_lite_uart.vhd</t>
        </is>
      </c>
      <c r="R87" s="16" t="inlineStr">
        <is>
          <t>RTL</t>
        </is>
      </c>
      <c r="S87" s="16" t="inlineStr">
        <is>
          <t>PASS</t>
        </is>
      </c>
      <c r="T87" s="16" t="inlineStr">
        <is>
          <t>2026-04-16</t>
        </is>
      </c>
      <c r="U87" s="16" t="inlineStr">
        <is>
          <t>39c48ee</t>
        </is>
      </c>
      <c r="V87" s="16" t="inlineStr">
        <is>
          <t>ip/buffered_axi_lite_uart/tb/scripts/vivado/xsim.log</t>
        </is>
      </c>
      <c r="W87" s="16" t="inlineStr">
        <is>
          <t>NOT_RUN</t>
        </is>
      </c>
      <c r="X87" s="16" t="inlineStr"/>
      <c r="AA87" s="16" t="inlineStr"/>
      <c r="AB87" s="17">
        <f>IF(K87="WAIVED","WAIVED",IF(H87="","OPEN",IF(S87="BLOCKED","BLOCKED",IF(S87="FAIL","FAILING",IF(S87="PASS",IF(AA87&lt;&gt;"","AT_RISK",IF(AC87&lt;&gt;"","CLOSED","PASSING")),"COVERED")))))</f>
        <v/>
      </c>
      <c r="AC87" s="16" t="inlineStr"/>
      <c r="AD87" s="16" t="inlineStr"/>
      <c r="AE87" s="16" t="inlineStr"/>
      <c r="AF87" s="16" t="inlineStr">
        <is>
          <t>1.0.0</t>
        </is>
      </c>
      <c r="AG87" s="16" t="inlineStr">
        <is>
          <t>ZUBoard 1CG / Basys 3</t>
        </is>
      </c>
      <c r="AH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is>
          <t>Structural</t>
        </is>
      </c>
      <c r="O88" s="16" t="inlineStr">
        <is>
          <t>ALL</t>
        </is>
      </c>
      <c r="P88" s="16" t="inlineStr"/>
      <c r="Q88" s="16" t="inlineStr">
        <is>
          <t>vhdl/buffered_axi_lite_uart.vhd</t>
        </is>
      </c>
      <c r="R88" s="16" t="inlineStr">
        <is>
          <t>RTL</t>
        </is>
      </c>
      <c r="S88" s="16" t="inlineStr">
        <is>
          <t>PASS</t>
        </is>
      </c>
      <c r="T88" s="16" t="inlineStr">
        <is>
          <t>2026-04-16</t>
        </is>
      </c>
      <c r="U88" s="16" t="inlineStr">
        <is>
          <t>39c48ee</t>
        </is>
      </c>
      <c r="V88" s="16" t="inlineStr">
        <is>
          <t>ip/buffered_axi_lite_uart/tb/scripts/vivado/xsim.log</t>
        </is>
      </c>
      <c r="W88" s="16" t="inlineStr">
        <is>
          <t>NOT_RUN</t>
        </is>
      </c>
      <c r="X88" s="16" t="inlineStr"/>
      <c r="AA88" s="16" t="inlineStr"/>
      <c r="AB88" s="17">
        <f>IF(K88="WAIVED","WAIVED",IF(H88="","OPEN",IF(S88="BLOCKED","BLOCKED",IF(S88="FAIL","FAILING",IF(S88="PASS",IF(AA88&lt;&gt;"","AT_RISK",IF(AC88&lt;&gt;"","CLOSED","PASSING")),"COVERED")))))</f>
        <v/>
      </c>
      <c r="AC88" s="16" t="inlineStr"/>
      <c r="AD88" s="16" t="inlineStr"/>
      <c r="AE88" s="16" t="inlineStr"/>
      <c r="AF88" s="16" t="inlineStr">
        <is>
          <t>1.0.0</t>
        </is>
      </c>
      <c r="AG88" s="16" t="inlineStr">
        <is>
          <t>ZUBoard 1CG / Basys 3</t>
        </is>
      </c>
      <c r="AH88" s="16" t="inlineStr">
        <is>
          <t>BALU-RS-001 Rev 0.4</t>
        </is>
      </c>
    </row>
    <row r="89">
      <c r="A89" s="16" t="inlineStr">
        <is>
          <t>UART-REG-013</t>
        </is>
      </c>
      <c r="B89" s="16" t="inlineStr">
        <is>
          <t>REG</t>
        </is>
      </c>
      <c r="C89" s="16" t="inlineStr">
        <is>
          <t>structural</t>
        </is>
      </c>
      <c r="D89" s="16" t="inlineStr">
        <is>
          <t>The Buffered AXI-Lite UART shall reset STATUS to 0x00000140 reflecting TX_EMPTY=1 (bit 8) and RX_EMPTY=1 (bit 6)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is>
          <t>Structural</t>
        </is>
      </c>
      <c r="O89" s="16" t="inlineStr">
        <is>
          <t>ALL</t>
        </is>
      </c>
      <c r="P89" s="16" t="inlineStr"/>
      <c r="Q89" s="16" t="inlineStr">
        <is>
          <t>vhdl/buffered_axi_lite_uart.vhd</t>
        </is>
      </c>
      <c r="R89" s="16" t="inlineStr">
        <is>
          <t>RTL</t>
        </is>
      </c>
      <c r="S89" s="16" t="inlineStr">
        <is>
          <t>PASS</t>
        </is>
      </c>
      <c r="T89" s="16" t="inlineStr">
        <is>
          <t>2026-04-16</t>
        </is>
      </c>
      <c r="U89" s="16" t="inlineStr">
        <is>
          <t>39c48ee</t>
        </is>
      </c>
      <c r="V89" s="16" t="inlineStr">
        <is>
          <t>ip/buffered_axi_lite_uart/tb/scripts/vivado/xsim.log</t>
        </is>
      </c>
      <c r="W89" s="16" t="inlineStr">
        <is>
          <t>NOT_RUN</t>
        </is>
      </c>
      <c r="X89" s="16" t="inlineStr"/>
      <c r="AA89" s="16" t="inlineStr"/>
      <c r="AB89" s="17">
        <f>IF(K89="WAIVED","WAIVED",IF(H89="","OPEN",IF(S89="BLOCKED","BLOCKED",IF(S89="FAIL","FAILING",IF(S89="PASS",IF(AA89&lt;&gt;"","AT_RISK",IF(AC89&lt;&gt;"","CLOSED","PASSING")),"COVERED")))))</f>
        <v/>
      </c>
      <c r="AC89" s="16" t="inlineStr"/>
      <c r="AD89" s="16" t="inlineStr"/>
      <c r="AE89" s="16" t="inlineStr"/>
      <c r="AF89" s="16" t="inlineStr">
        <is>
          <t>1.0.0</t>
        </is>
      </c>
      <c r="AG89" s="16" t="inlineStr">
        <is>
          <t>ZUBoard 1CG / Basys 3</t>
        </is>
      </c>
      <c r="AH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is>
          <t>Structural</t>
        </is>
      </c>
      <c r="O90" s="16" t="inlineStr">
        <is>
          <t>ALL</t>
        </is>
      </c>
      <c r="P90" s="16" t="inlineStr"/>
      <c r="Q90" s="16" t="inlineStr">
        <is>
          <t>vhdl/buffered_axi_lite_uart.vhd</t>
        </is>
      </c>
      <c r="R90" s="16" t="inlineStr">
        <is>
          <t>RTL</t>
        </is>
      </c>
      <c r="S90" s="16" t="inlineStr">
        <is>
          <t>PASS</t>
        </is>
      </c>
      <c r="T90" s="16" t="inlineStr">
        <is>
          <t>2026-04-16</t>
        </is>
      </c>
      <c r="U90" s="16" t="inlineStr">
        <is>
          <t>39c48ee</t>
        </is>
      </c>
      <c r="V90" s="16" t="inlineStr">
        <is>
          <t>ip/buffered_axi_lite_uart/tb/scripts/vivado/xsim.log</t>
        </is>
      </c>
      <c r="W90" s="16" t="inlineStr">
        <is>
          <t>NOT_RUN</t>
        </is>
      </c>
      <c r="X90" s="16" t="inlineStr"/>
      <c r="AA90" s="16" t="inlineStr"/>
      <c r="AB90" s="17">
        <f>IF(K90="WAIVED","WAIVED",IF(H90="","OPEN",IF(S90="BLOCKED","BLOCKED",IF(S90="FAIL","FAILING",IF(S90="PASS",IF(AA90&lt;&gt;"","AT_RISK",IF(AC90&lt;&gt;"","CLOSED","PASSING")),"COVERED")))))</f>
        <v/>
      </c>
      <c r="AC90" s="16" t="inlineStr"/>
      <c r="AD90" s="16" t="inlineStr"/>
      <c r="AE90" s="16" t="inlineStr"/>
      <c r="AF90" s="16" t="inlineStr">
        <is>
          <t>1.0.0</t>
        </is>
      </c>
      <c r="AG90" s="16" t="inlineStr">
        <is>
          <t>ZUBoard 1CG / Basys 3</t>
        </is>
      </c>
      <c r="AH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is>
          <t>Structural</t>
        </is>
      </c>
      <c r="O91" s="16" t="inlineStr">
        <is>
          <t>ALL</t>
        </is>
      </c>
      <c r="P91" s="16" t="inlineStr"/>
      <c r="Q91" s="16" t="inlineStr">
        <is>
          <t>vhdl/buffered_axi_lite_uart.vhd</t>
        </is>
      </c>
      <c r="R91" s="16" t="inlineStr">
        <is>
          <t>RTL</t>
        </is>
      </c>
      <c r="S91" s="16" t="inlineStr">
        <is>
          <t>PASS</t>
        </is>
      </c>
      <c r="T91" s="16" t="inlineStr">
        <is>
          <t>2026-04-16</t>
        </is>
      </c>
      <c r="U91" s="16" t="inlineStr">
        <is>
          <t>39c48ee</t>
        </is>
      </c>
      <c r="V91" s="16" t="inlineStr">
        <is>
          <t>ip/buffered_axi_lite_uart/tb/scripts/vivado/xsim.log</t>
        </is>
      </c>
      <c r="W91" s="16" t="inlineStr">
        <is>
          <t>NOT_RUN</t>
        </is>
      </c>
      <c r="X91" s="16" t="inlineStr"/>
      <c r="AA91" s="16" t="inlineStr"/>
      <c r="AB91" s="17">
        <f>IF(K91="WAIVED","WAIVED",IF(H91="","OPEN",IF(S91="BLOCKED","BLOCKED",IF(S91="FAIL","FAILING",IF(S91="PASS",IF(AA91&lt;&gt;"","AT_RISK",IF(AC91&lt;&gt;"","CLOSED","PASSING")),"COVERED")))))</f>
        <v/>
      </c>
      <c r="AC91" s="16" t="inlineStr"/>
      <c r="AD91" s="16" t="inlineStr"/>
      <c r="AE91" s="16" t="inlineStr"/>
      <c r="AF91" s="16" t="inlineStr">
        <is>
          <t>1.0.0</t>
        </is>
      </c>
      <c r="AG91" s="16" t="inlineStr">
        <is>
          <t>ZUBoard 1CG / Basys 3</t>
        </is>
      </c>
      <c r="AH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is>
          <t>Structural</t>
        </is>
      </c>
      <c r="O92" s="16" t="inlineStr">
        <is>
          <t>ALL</t>
        </is>
      </c>
      <c r="P92" s="16" t="inlineStr"/>
      <c r="Q92" s="16" t="inlineStr">
        <is>
          <t>vhdl/buffered_axi_lite_uart.vhd</t>
        </is>
      </c>
      <c r="R92" s="16" t="inlineStr">
        <is>
          <t>RTL</t>
        </is>
      </c>
      <c r="S92" s="16" t="inlineStr">
        <is>
          <t>PASS</t>
        </is>
      </c>
      <c r="T92" s="16" t="inlineStr">
        <is>
          <t>2026-04-16</t>
        </is>
      </c>
      <c r="U92" s="16" t="inlineStr">
        <is>
          <t>39c48ee</t>
        </is>
      </c>
      <c r="V92" s="16" t="inlineStr">
        <is>
          <t>ip/buffered_axi_lite_uart/tb/scripts/vivado/xsim.log</t>
        </is>
      </c>
      <c r="W92" s="16" t="inlineStr">
        <is>
          <t>NOT_RUN</t>
        </is>
      </c>
      <c r="X92" s="16" t="inlineStr"/>
      <c r="AA92" s="16" t="inlineStr"/>
      <c r="AB92" s="17">
        <f>IF(K92="WAIVED","WAIVED",IF(H92="","OPEN",IF(S92="BLOCKED","BLOCKED",IF(S92="FAIL","FAILING",IF(S92="PASS",IF(AA92&lt;&gt;"","AT_RISK",IF(AC92&lt;&gt;"","CLOSED","PASSING")),"COVERED")))))</f>
        <v/>
      </c>
      <c r="AC92" s="16" t="inlineStr"/>
      <c r="AD92" s="16" t="inlineStr"/>
      <c r="AE92" s="16" t="inlineStr"/>
      <c r="AF92" s="16" t="inlineStr">
        <is>
          <t>1.0.0</t>
        </is>
      </c>
      <c r="AG92" s="16" t="inlineStr">
        <is>
          <t>ZUBoard 1CG / Basys 3</t>
        </is>
      </c>
      <c r="AH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is>
          <t>Structural</t>
        </is>
      </c>
      <c r="O93" s="16" t="inlineStr">
        <is>
          <t>ALL</t>
        </is>
      </c>
      <c r="P93" s="16" t="inlineStr"/>
      <c r="Q93" s="16" t="inlineStr">
        <is>
          <t>vhdl/buffered_axi_lite_uart.vhd</t>
        </is>
      </c>
      <c r="R93" s="16" t="inlineStr">
        <is>
          <t>RTL</t>
        </is>
      </c>
      <c r="S93" s="16" t="inlineStr">
        <is>
          <t>PASS</t>
        </is>
      </c>
      <c r="T93" s="16" t="inlineStr">
        <is>
          <t>2026-04-16</t>
        </is>
      </c>
      <c r="U93" s="16" t="inlineStr">
        <is>
          <t>39c48ee</t>
        </is>
      </c>
      <c r="V93" s="16" t="inlineStr">
        <is>
          <t>ip/buffered_axi_lite_uart/tb/scripts/vivado/xsim.log</t>
        </is>
      </c>
      <c r="W93" s="16" t="inlineStr">
        <is>
          <t>NOT_RUN</t>
        </is>
      </c>
      <c r="X93" s="16" t="inlineStr"/>
      <c r="AA93" s="16" t="inlineStr"/>
      <c r="AB93" s="17">
        <f>IF(K93="WAIVED","WAIVED",IF(H93="","OPEN",IF(S93="BLOCKED","BLOCKED",IF(S93="FAIL","FAILING",IF(S93="PASS",IF(AA93&lt;&gt;"","AT_RISK",IF(AC93&lt;&gt;"","CLOSED","PASSING")),"COVERED")))))</f>
        <v/>
      </c>
      <c r="AC93" s="16" t="inlineStr"/>
      <c r="AD93" s="16" t="inlineStr"/>
      <c r="AE93" s="16" t="inlineStr"/>
      <c r="AF93" s="16" t="inlineStr">
        <is>
          <t>1.0.0</t>
        </is>
      </c>
      <c r="AG93" s="16" t="inlineStr">
        <is>
          <t>ZUBoard 1CG / Basys 3</t>
        </is>
      </c>
      <c r="AH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is>
          <t>Structural</t>
        </is>
      </c>
      <c r="O94" s="16" t="inlineStr">
        <is>
          <t>ALL</t>
        </is>
      </c>
      <c r="P94" s="16" t="inlineStr"/>
      <c r="Q94" s="16" t="inlineStr">
        <is>
          <t>vhdl/buffered_axi_lite_uart.vhd</t>
        </is>
      </c>
      <c r="R94" s="16" t="inlineStr">
        <is>
          <t>RTL</t>
        </is>
      </c>
      <c r="S94" s="16" t="inlineStr">
        <is>
          <t>PASS</t>
        </is>
      </c>
      <c r="T94" s="16" t="inlineStr">
        <is>
          <t>2026-04-16</t>
        </is>
      </c>
      <c r="U94" s="16" t="inlineStr">
        <is>
          <t>39c48ee</t>
        </is>
      </c>
      <c r="V94" s="16" t="inlineStr">
        <is>
          <t>ip/buffered_axi_lite_uart/tb/scripts/vivado/xsim.log</t>
        </is>
      </c>
      <c r="W94" s="16" t="inlineStr">
        <is>
          <t>NOT_RUN</t>
        </is>
      </c>
      <c r="X94" s="16" t="inlineStr"/>
      <c r="AA94" s="16" t="inlineStr"/>
      <c r="AB94" s="17">
        <f>IF(K94="WAIVED","WAIVED",IF(H94="","OPEN",IF(S94="BLOCKED","BLOCKED",IF(S94="FAIL","FAILING",IF(S94="PASS",IF(AA94&lt;&gt;"","AT_RISK",IF(AC94&lt;&gt;"","CLOSED","PASSING")),"COVERED")))))</f>
        <v/>
      </c>
      <c r="AC94" s="16" t="inlineStr"/>
      <c r="AD94" s="16" t="inlineStr"/>
      <c r="AE94" s="16" t="inlineStr"/>
      <c r="AF94" s="16" t="inlineStr">
        <is>
          <t>1.0.0</t>
        </is>
      </c>
      <c r="AG94" s="16" t="inlineStr">
        <is>
          <t>ZUBoard 1CG / Basys 3</t>
        </is>
      </c>
      <c r="AH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is>
          <t>Structural</t>
        </is>
      </c>
      <c r="O95" s="16" t="inlineStr">
        <is>
          <t>ALL</t>
        </is>
      </c>
      <c r="P95" s="16" t="inlineStr"/>
      <c r="Q95" s="16" t="inlineStr">
        <is>
          <t>vhdl/buffered_axi_lite_uart.vhd</t>
        </is>
      </c>
      <c r="R95" s="16" t="inlineStr">
        <is>
          <t>RTL</t>
        </is>
      </c>
      <c r="S95" s="16" t="inlineStr">
        <is>
          <t>PASS</t>
        </is>
      </c>
      <c r="T95" s="16" t="inlineStr">
        <is>
          <t>2026-04-16</t>
        </is>
      </c>
      <c r="U95" s="16" t="inlineStr">
        <is>
          <t>39c48ee</t>
        </is>
      </c>
      <c r="V95" s="16" t="inlineStr">
        <is>
          <t>ip/buffered_axi_lite_uart/tb/scripts/vivado/xsim.log</t>
        </is>
      </c>
      <c r="W95" s="16" t="inlineStr">
        <is>
          <t>NOT_RUN</t>
        </is>
      </c>
      <c r="X95" s="16" t="inlineStr"/>
      <c r="AA95" s="16" t="inlineStr"/>
      <c r="AB95" s="17">
        <f>IF(K95="WAIVED","WAIVED",IF(H95="","OPEN",IF(S95="BLOCKED","BLOCKED",IF(S95="FAIL","FAILING",IF(S95="PASS",IF(AA95&lt;&gt;"","AT_RISK",IF(AC95&lt;&gt;"","CLOSED","PASSING")),"COVERED")))))</f>
        <v/>
      </c>
      <c r="AC95" s="16" t="inlineStr"/>
      <c r="AD95" s="16" t="inlineStr"/>
      <c r="AE95" s="16" t="inlineStr"/>
      <c r="AF95" s="16" t="inlineStr">
        <is>
          <t>1.0.0</t>
        </is>
      </c>
      <c r="AG95" s="16" t="inlineStr">
        <is>
          <t>ZUBoard 1CG / Basys 3</t>
        </is>
      </c>
      <c r="AH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is>
          <t>Structural</t>
        </is>
      </c>
      <c r="O96" s="16" t="inlineStr">
        <is>
          <t>ALL</t>
        </is>
      </c>
      <c r="P96" s="16" t="inlineStr"/>
      <c r="Q96" s="16" t="inlineStr">
        <is>
          <t>vhdl/buffered_axi_lite_uart.vhd</t>
        </is>
      </c>
      <c r="R96" s="16" t="inlineStr">
        <is>
          <t>RTL</t>
        </is>
      </c>
      <c r="S96" s="16" t="inlineStr">
        <is>
          <t>PASS</t>
        </is>
      </c>
      <c r="T96" s="16" t="inlineStr">
        <is>
          <t>2026-04-16</t>
        </is>
      </c>
      <c r="U96" s="16" t="inlineStr">
        <is>
          <t>39c48ee</t>
        </is>
      </c>
      <c r="V96" s="16" t="inlineStr">
        <is>
          <t>ip/buffered_axi_lite_uart/tb/scripts/vivado/xsim.log</t>
        </is>
      </c>
      <c r="W96" s="16" t="inlineStr">
        <is>
          <t>NOT_RUN</t>
        </is>
      </c>
      <c r="X96" s="16" t="inlineStr"/>
      <c r="AA96" s="16" t="inlineStr"/>
      <c r="AB96" s="17">
        <f>IF(K96="WAIVED","WAIVED",IF(H96="","OPEN",IF(S96="BLOCKED","BLOCKED",IF(S96="FAIL","FAILING",IF(S96="PASS",IF(AA96&lt;&gt;"","AT_RISK",IF(AC96&lt;&gt;"","CLOSED","PASSING")),"COVERED")))))</f>
        <v/>
      </c>
      <c r="AC96" s="16" t="inlineStr"/>
      <c r="AD96" s="16" t="inlineStr"/>
      <c r="AE96" s="16" t="inlineStr"/>
      <c r="AF96" s="16" t="inlineStr">
        <is>
          <t>1.0.0</t>
        </is>
      </c>
      <c r="AG96" s="16" t="inlineStr">
        <is>
          <t>ZUBoard 1CG / Basys 3</t>
        </is>
      </c>
      <c r="AH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is>
          <t>Structural</t>
        </is>
      </c>
      <c r="O97" s="16" t="inlineStr">
        <is>
          <t>ALL</t>
        </is>
      </c>
      <c r="P97" s="16" t="inlineStr"/>
      <c r="Q97" s="16" t="inlineStr">
        <is>
          <t>vhdl/buffered_axi_lite_uart.vhd</t>
        </is>
      </c>
      <c r="R97" s="16" t="inlineStr">
        <is>
          <t>RTL</t>
        </is>
      </c>
      <c r="S97" s="16" t="inlineStr">
        <is>
          <t>PASS</t>
        </is>
      </c>
      <c r="T97" s="16" t="inlineStr">
        <is>
          <t>2026-04-16</t>
        </is>
      </c>
      <c r="U97" s="16" t="inlineStr">
        <is>
          <t>39c48ee</t>
        </is>
      </c>
      <c r="V97" s="16" t="inlineStr">
        <is>
          <t>ip/buffered_axi_lite_uart/tb/scripts/vivado/xsim.log</t>
        </is>
      </c>
      <c r="W97" s="16" t="inlineStr">
        <is>
          <t>NOT_RUN</t>
        </is>
      </c>
      <c r="X97" s="16" t="inlineStr"/>
      <c r="AA97" s="16" t="inlineStr"/>
      <c r="AB97" s="17">
        <f>IF(K97="WAIVED","WAIVED",IF(H97="","OPEN",IF(S97="BLOCKED","BLOCKED",IF(S97="FAIL","FAILING",IF(S97="PASS",IF(AA97&lt;&gt;"","AT_RISK",IF(AC97&lt;&gt;"","CLOSED","PASSING")),"COVERED")))))</f>
        <v/>
      </c>
      <c r="AC97" s="16" t="inlineStr"/>
      <c r="AD97" s="16" t="inlineStr"/>
      <c r="AE97" s="16" t="inlineStr"/>
      <c r="AF97" s="16" t="inlineStr">
        <is>
          <t>1.0.0</t>
        </is>
      </c>
      <c r="AG97" s="16" t="inlineStr">
        <is>
          <t>ZUBoard 1CG / Basys 3</t>
        </is>
      </c>
      <c r="AH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is>
          <t>Structural</t>
        </is>
      </c>
      <c r="O98" s="16" t="inlineStr">
        <is>
          <t>ALL</t>
        </is>
      </c>
      <c r="P98" s="16" t="inlineStr"/>
      <c r="Q98" s="16" t="inlineStr">
        <is>
          <t>vhdl/buffered_axi_lite_uart.vhd</t>
        </is>
      </c>
      <c r="R98" s="16" t="inlineStr">
        <is>
          <t>RTL</t>
        </is>
      </c>
      <c r="S98" s="16" t="inlineStr">
        <is>
          <t>PASS</t>
        </is>
      </c>
      <c r="T98" s="16" t="inlineStr">
        <is>
          <t>2026-04-16</t>
        </is>
      </c>
      <c r="U98" s="16" t="inlineStr">
        <is>
          <t>39c48ee</t>
        </is>
      </c>
      <c r="V98" s="16" t="inlineStr">
        <is>
          <t>ip/buffered_axi_lite_uart/tb/scripts/vivado/xsim.log</t>
        </is>
      </c>
      <c r="W98" s="16" t="inlineStr">
        <is>
          <t>NOT_RUN</t>
        </is>
      </c>
      <c r="X98" s="16" t="inlineStr"/>
      <c r="AA98" s="16" t="inlineStr"/>
      <c r="AB98" s="17">
        <f>IF(K98="WAIVED","WAIVED",IF(H98="","OPEN",IF(S98="BLOCKED","BLOCKED",IF(S98="FAIL","FAILING",IF(S98="PASS",IF(AA98&lt;&gt;"","AT_RISK",IF(AC98&lt;&gt;"","CLOSED","PASSING")),"COVERED")))))</f>
        <v/>
      </c>
      <c r="AC98" s="16" t="inlineStr"/>
      <c r="AD98" s="16" t="inlineStr"/>
      <c r="AE98" s="16" t="inlineStr"/>
      <c r="AF98" s="16" t="inlineStr">
        <is>
          <t>1.0.0</t>
        </is>
      </c>
      <c r="AG98" s="16" t="inlineStr">
        <is>
          <t>ZUBoard 1CG / Basys 3</t>
        </is>
      </c>
      <c r="AH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is>
          <t>Structural</t>
        </is>
      </c>
      <c r="O99" s="16" t="inlineStr">
        <is>
          <t>ALL</t>
        </is>
      </c>
      <c r="P99" s="16" t="inlineStr"/>
      <c r="Q99" s="16" t="inlineStr">
        <is>
          <t>vhdl/buffered_axi_lite_uart.vhd</t>
        </is>
      </c>
      <c r="R99" s="16" t="inlineStr">
        <is>
          <t>RTL</t>
        </is>
      </c>
      <c r="S99" s="16" t="inlineStr">
        <is>
          <t>PASS</t>
        </is>
      </c>
      <c r="T99" s="16" t="inlineStr">
        <is>
          <t>2026-04-16</t>
        </is>
      </c>
      <c r="U99" s="16" t="inlineStr">
        <is>
          <t>39c48ee</t>
        </is>
      </c>
      <c r="V99" s="16" t="inlineStr">
        <is>
          <t>ip/buffered_axi_lite_uart/tb/scripts/vivado/xsim.log</t>
        </is>
      </c>
      <c r="W99" s="16" t="inlineStr">
        <is>
          <t>NOT_RUN</t>
        </is>
      </c>
      <c r="X99" s="16" t="inlineStr"/>
      <c r="AA99" s="16" t="inlineStr"/>
      <c r="AB99" s="17">
        <f>IF(K99="WAIVED","WAIVED",IF(H99="","OPEN",IF(S99="BLOCKED","BLOCKED",IF(S99="FAIL","FAILING",IF(S99="PASS",IF(AA99&lt;&gt;"","AT_RISK",IF(AC99&lt;&gt;"","CLOSED","PASSING")),"COVERED")))))</f>
        <v/>
      </c>
      <c r="AC99" s="16" t="inlineStr"/>
      <c r="AD99" s="16" t="inlineStr"/>
      <c r="AE99" s="16" t="inlineStr"/>
      <c r="AF99" s="16" t="inlineStr">
        <is>
          <t>1.0.0</t>
        </is>
      </c>
      <c r="AG99" s="16" t="inlineStr">
        <is>
          <t>ZUBoard 1CG / Basys 3</t>
        </is>
      </c>
      <c r="AH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is>
          <t>Structural</t>
        </is>
      </c>
      <c r="O100" s="16" t="inlineStr">
        <is>
          <t>ALL</t>
        </is>
      </c>
      <c r="P100" s="16" t="inlineStr"/>
      <c r="Q100" s="16" t="inlineStr">
        <is>
          <t>vhdl/buffered_axi_lite_uart.vhd</t>
        </is>
      </c>
      <c r="R100" s="16" t="inlineStr">
        <is>
          <t>RTL</t>
        </is>
      </c>
      <c r="S100" s="16" t="inlineStr">
        <is>
          <t>PASS</t>
        </is>
      </c>
      <c r="T100" s="16" t="inlineStr">
        <is>
          <t>2026-04-16</t>
        </is>
      </c>
      <c r="U100" s="16" t="inlineStr">
        <is>
          <t>39c48ee</t>
        </is>
      </c>
      <c r="V100" s="16" t="inlineStr">
        <is>
          <t>ip/buffered_axi_lite_uart/tb/scripts/vivado/xsim.log</t>
        </is>
      </c>
      <c r="W100" s="16" t="inlineStr">
        <is>
          <t>NOT_RUN</t>
        </is>
      </c>
      <c r="X100" s="16" t="inlineStr"/>
      <c r="AA100" s="16" t="inlineStr"/>
      <c r="AB100" s="17">
        <f>IF(K100="WAIVED","WAIVED",IF(H100="","OPEN",IF(S100="BLOCKED","BLOCKED",IF(S100="FAIL","FAILING",IF(S100="PASS",IF(AA100&lt;&gt;"","AT_RISK",IF(AC100&lt;&gt;"","CLOSED","PASSING")),"COVERED")))))</f>
        <v/>
      </c>
      <c r="AC100" s="16" t="inlineStr"/>
      <c r="AD100" s="16" t="inlineStr"/>
      <c r="AE100" s="16" t="inlineStr"/>
      <c r="AF100" s="16" t="inlineStr">
        <is>
          <t>1.0.0</t>
        </is>
      </c>
      <c r="AG100" s="16" t="inlineStr">
        <is>
          <t>ZUBoard 1CG / Basys 3</t>
        </is>
      </c>
      <c r="AH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is>
          <t>Structural</t>
        </is>
      </c>
      <c r="O101" s="16" t="inlineStr">
        <is>
          <t>ALL</t>
        </is>
      </c>
      <c r="P101" s="16" t="inlineStr"/>
      <c r="Q101" s="16" t="inlineStr">
        <is>
          <t>vhdl/buffered_axi_lite_uart.vhd</t>
        </is>
      </c>
      <c r="R101" s="16" t="inlineStr">
        <is>
          <t>RTL</t>
        </is>
      </c>
      <c r="S101" s="16" t="inlineStr">
        <is>
          <t>PASS</t>
        </is>
      </c>
      <c r="T101" s="16" t="inlineStr">
        <is>
          <t>2026-04-16</t>
        </is>
      </c>
      <c r="U101" s="16" t="inlineStr">
        <is>
          <t>39c48ee</t>
        </is>
      </c>
      <c r="V101" s="16" t="inlineStr">
        <is>
          <t>ip/buffered_axi_lite_uart/tb/scripts/vivado/xsim.log</t>
        </is>
      </c>
      <c r="W101" s="16" t="inlineStr">
        <is>
          <t>NOT_RUN</t>
        </is>
      </c>
      <c r="X101" s="16" t="inlineStr"/>
      <c r="AA101" s="16" t="inlineStr"/>
      <c r="AB101" s="17">
        <f>IF(K101="WAIVED","WAIVED",IF(H101="","OPEN",IF(S101="BLOCKED","BLOCKED",IF(S101="FAIL","FAILING",IF(S101="PASS",IF(AA101&lt;&gt;"","AT_RISK",IF(AC101&lt;&gt;"","CLOSED","PASSING")),"COVERED")))))</f>
        <v/>
      </c>
      <c r="AC101" s="16" t="inlineStr"/>
      <c r="AD101" s="16" t="inlineStr"/>
      <c r="AE101" s="16" t="inlineStr"/>
      <c r="AF101" s="16" t="inlineStr">
        <is>
          <t>1.0.0</t>
        </is>
      </c>
      <c r="AG101" s="16" t="inlineStr">
        <is>
          <t>ZUBoard 1CG / Basys 3</t>
        </is>
      </c>
      <c r="AH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is>
          <t>Structural</t>
        </is>
      </c>
      <c r="O102" s="16" t="inlineStr">
        <is>
          <t>ALL</t>
        </is>
      </c>
      <c r="P102" s="16" t="inlineStr"/>
      <c r="Q102" s="16" t="inlineStr">
        <is>
          <t>vhdl/buffered_axi_lite_uart.vhd</t>
        </is>
      </c>
      <c r="R102" s="16" t="inlineStr">
        <is>
          <t>RTL</t>
        </is>
      </c>
      <c r="S102" s="16" t="inlineStr">
        <is>
          <t>PASS</t>
        </is>
      </c>
      <c r="T102" s="16" t="inlineStr">
        <is>
          <t>2026-04-16</t>
        </is>
      </c>
      <c r="U102" s="16" t="inlineStr">
        <is>
          <t>39c48ee</t>
        </is>
      </c>
      <c r="V102" s="16" t="inlineStr">
        <is>
          <t>ip/buffered_axi_lite_uart/tb/scripts/vivado/xsim.log</t>
        </is>
      </c>
      <c r="W102" s="16" t="inlineStr">
        <is>
          <t>NOT_RUN</t>
        </is>
      </c>
      <c r="X102" s="16" t="inlineStr"/>
      <c r="AA102" s="16" t="inlineStr"/>
      <c r="AB102" s="17">
        <f>IF(K102="WAIVED","WAIVED",IF(H102="","OPEN",IF(S102="BLOCKED","BLOCKED",IF(S102="FAIL","FAILING",IF(S102="PASS",IF(AA102&lt;&gt;"","AT_RISK",IF(AC102&lt;&gt;"","CLOSED","PASSING")),"COVERED")))))</f>
        <v/>
      </c>
      <c r="AC102" s="16" t="inlineStr"/>
      <c r="AD102" s="16" t="inlineStr"/>
      <c r="AE102" s="16" t="inlineStr"/>
      <c r="AF102" s="16" t="inlineStr">
        <is>
          <t>1.0.0</t>
        </is>
      </c>
      <c r="AG102" s="16" t="inlineStr">
        <is>
          <t>ZUBoard 1CG / Basys 3</t>
        </is>
      </c>
      <c r="AH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is>
          <t>Structural</t>
        </is>
      </c>
      <c r="O103" s="16" t="inlineStr">
        <is>
          <t>ALL</t>
        </is>
      </c>
      <c r="P103" s="16" t="inlineStr"/>
      <c r="Q103" s="16" t="inlineStr">
        <is>
          <t>vhdl/buffered_axi_lite_uart.vhd</t>
        </is>
      </c>
      <c r="R103" s="16" t="inlineStr">
        <is>
          <t>RTL</t>
        </is>
      </c>
      <c r="S103" s="16" t="inlineStr">
        <is>
          <t>PASS</t>
        </is>
      </c>
      <c r="T103" s="16" t="inlineStr">
        <is>
          <t>2026-04-16</t>
        </is>
      </c>
      <c r="U103" s="16" t="inlineStr">
        <is>
          <t>39c48ee</t>
        </is>
      </c>
      <c r="V103" s="16" t="inlineStr">
        <is>
          <t>ip/buffered_axi_lite_uart/tb/scripts/vivado/xsim.log</t>
        </is>
      </c>
      <c r="W103" s="16" t="inlineStr">
        <is>
          <t>NOT_RUN</t>
        </is>
      </c>
      <c r="X103" s="16" t="inlineStr"/>
      <c r="AA103" s="16" t="inlineStr"/>
      <c r="AB103" s="17">
        <f>IF(K103="WAIVED","WAIVED",IF(H103="","OPEN",IF(S103="BLOCKED","BLOCKED",IF(S103="FAIL","FAILING",IF(S103="PASS",IF(AA103&lt;&gt;"","AT_RISK",IF(AC103&lt;&gt;"","CLOSED","PASSING")),"COVERED")))))</f>
        <v/>
      </c>
      <c r="AC103" s="16" t="inlineStr"/>
      <c r="AD103" s="16" t="inlineStr"/>
      <c r="AE103" s="16" t="inlineStr"/>
      <c r="AF103" s="16" t="inlineStr">
        <is>
          <t>1.0.0</t>
        </is>
      </c>
      <c r="AG103" s="16" t="inlineStr">
        <is>
          <t>ZUBoard 1CG / Basys 3</t>
        </is>
      </c>
      <c r="AH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is>
          <t>Structural</t>
        </is>
      </c>
      <c r="O104" s="16" t="inlineStr">
        <is>
          <t>ALL</t>
        </is>
      </c>
      <c r="P104" s="16" t="inlineStr"/>
      <c r="Q104" s="16" t="inlineStr">
        <is>
          <t>vhdl/buffered_axi_lite_uart.vhd</t>
        </is>
      </c>
      <c r="R104" s="16" t="inlineStr">
        <is>
          <t>RTL</t>
        </is>
      </c>
      <c r="S104" s="16" t="inlineStr">
        <is>
          <t>PASS</t>
        </is>
      </c>
      <c r="T104" s="16" t="inlineStr">
        <is>
          <t>2026-04-16</t>
        </is>
      </c>
      <c r="U104" s="16" t="inlineStr">
        <is>
          <t>39c48ee</t>
        </is>
      </c>
      <c r="V104" s="16" t="inlineStr">
        <is>
          <t>ip/buffered_axi_lite_uart/tb/scripts/vivado/xsim.log</t>
        </is>
      </c>
      <c r="W104" s="16" t="inlineStr">
        <is>
          <t>NOT_RUN</t>
        </is>
      </c>
      <c r="X104" s="16" t="inlineStr"/>
      <c r="AA104" s="16" t="inlineStr"/>
      <c r="AB104" s="17">
        <f>IF(K104="WAIVED","WAIVED",IF(H104="","OPEN",IF(S104="BLOCKED","BLOCKED",IF(S104="FAIL","FAILING",IF(S104="PASS",IF(AA104&lt;&gt;"","AT_RISK",IF(AC104&lt;&gt;"","CLOSED","PASSING")),"COVERED")))))</f>
        <v/>
      </c>
      <c r="AC104" s="16" t="inlineStr"/>
      <c r="AD104" s="16" t="inlineStr"/>
      <c r="AE104" s="16" t="inlineStr"/>
      <c r="AF104" s="16" t="inlineStr">
        <is>
          <t>1.0.0</t>
        </is>
      </c>
      <c r="AG104" s="16" t="inlineStr">
        <is>
          <t>ZUBoard 1CG / Basys 3</t>
        </is>
      </c>
      <c r="AH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is>
          <t>Structural</t>
        </is>
      </c>
      <c r="O105" s="16" t="inlineStr">
        <is>
          <t>ALL</t>
        </is>
      </c>
      <c r="P105" s="16" t="inlineStr"/>
      <c r="Q105" s="16" t="inlineStr">
        <is>
          <t>vhdl/buffered_axi_lite_uart.vhd</t>
        </is>
      </c>
      <c r="R105" s="16" t="inlineStr">
        <is>
          <t>RTL</t>
        </is>
      </c>
      <c r="S105" s="16" t="inlineStr">
        <is>
          <t>PASS</t>
        </is>
      </c>
      <c r="T105" s="16" t="inlineStr">
        <is>
          <t>2026-04-16</t>
        </is>
      </c>
      <c r="U105" s="16" t="inlineStr">
        <is>
          <t>39c48ee</t>
        </is>
      </c>
      <c r="V105" s="16" t="inlineStr">
        <is>
          <t>ip/buffered_axi_lite_uart/tb/scripts/vivado/xsim.log</t>
        </is>
      </c>
      <c r="W105" s="16" t="inlineStr">
        <is>
          <t>NOT_RUN</t>
        </is>
      </c>
      <c r="X105" s="16" t="inlineStr"/>
      <c r="AA105" s="16" t="inlineStr"/>
      <c r="AB105" s="17">
        <f>IF(K105="WAIVED","WAIVED",IF(H105="","OPEN",IF(S105="BLOCKED","BLOCKED",IF(S105="FAIL","FAILING",IF(S105="PASS",IF(AA105&lt;&gt;"","AT_RISK",IF(AC105&lt;&gt;"","CLOSED","PASSING")),"COVERED")))))</f>
        <v/>
      </c>
      <c r="AC105" s="16" t="inlineStr"/>
      <c r="AD105" s="16" t="inlineStr"/>
      <c r="AE105" s="16" t="inlineStr"/>
      <c r="AF105" s="16" t="inlineStr">
        <is>
          <t>1.0.0</t>
        </is>
      </c>
      <c r="AG105" s="16" t="inlineStr">
        <is>
          <t>ZUBoard 1CG / Basys 3</t>
        </is>
      </c>
      <c r="AH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is>
          <t>Structural</t>
        </is>
      </c>
      <c r="O106" s="16" t="inlineStr">
        <is>
          <t>ALL</t>
        </is>
      </c>
      <c r="P106" s="16" t="inlineStr"/>
      <c r="Q106" s="16" t="inlineStr">
        <is>
          <t>vhdl/buffered_axi_lite_uart.vhd</t>
        </is>
      </c>
      <c r="R106" s="16" t="inlineStr">
        <is>
          <t>RTL</t>
        </is>
      </c>
      <c r="S106" s="16" t="inlineStr">
        <is>
          <t>PASS</t>
        </is>
      </c>
      <c r="T106" s="16" t="inlineStr">
        <is>
          <t>2026-04-16</t>
        </is>
      </c>
      <c r="U106" s="16" t="inlineStr">
        <is>
          <t>39c48ee</t>
        </is>
      </c>
      <c r="V106" s="16" t="inlineStr">
        <is>
          <t>ip/buffered_axi_lite_uart/tb/scripts/vivado/xsim.log</t>
        </is>
      </c>
      <c r="W106" s="16" t="inlineStr">
        <is>
          <t>NOT_RUN</t>
        </is>
      </c>
      <c r="X106" s="16" t="inlineStr"/>
      <c r="AA106" s="16" t="inlineStr"/>
      <c r="AB106" s="17">
        <f>IF(K106="WAIVED","WAIVED",IF(H106="","OPEN",IF(S106="BLOCKED","BLOCKED",IF(S106="FAIL","FAILING",IF(S106="PASS",IF(AA106&lt;&gt;"","AT_RISK",IF(AC106&lt;&gt;"","CLOSED","PASSING")),"COVERED")))))</f>
        <v/>
      </c>
      <c r="AC106" s="16" t="inlineStr"/>
      <c r="AD106" s="16" t="inlineStr"/>
      <c r="AE106" s="16" t="inlineStr"/>
      <c r="AF106" s="16" t="inlineStr">
        <is>
          <t>1.0.0</t>
        </is>
      </c>
      <c r="AG106" s="16" t="inlineStr">
        <is>
          <t>ZUBoard 1CG / Basys 3</t>
        </is>
      </c>
      <c r="AH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is>
          <t>Structural</t>
        </is>
      </c>
      <c r="O107" s="16" t="inlineStr">
        <is>
          <t>ALL</t>
        </is>
      </c>
      <c r="P107" s="16" t="inlineStr"/>
      <c r="Q107" s="16" t="inlineStr">
        <is>
          <t>vhdl/buffered_axi_lite_uart.vhd</t>
        </is>
      </c>
      <c r="R107" s="16" t="inlineStr">
        <is>
          <t>RTL</t>
        </is>
      </c>
      <c r="S107" s="16" t="inlineStr">
        <is>
          <t>PASS</t>
        </is>
      </c>
      <c r="T107" s="16" t="inlineStr">
        <is>
          <t>2026-04-16</t>
        </is>
      </c>
      <c r="U107" s="16" t="inlineStr">
        <is>
          <t>39c48ee</t>
        </is>
      </c>
      <c r="V107" s="16" t="inlineStr">
        <is>
          <t>ip/buffered_axi_lite_uart/tb/scripts/vivado/xsim.log</t>
        </is>
      </c>
      <c r="W107" s="16" t="inlineStr">
        <is>
          <t>NOT_RUN</t>
        </is>
      </c>
      <c r="X107" s="16" t="inlineStr"/>
      <c r="AA107" s="16" t="inlineStr"/>
      <c r="AB107" s="17">
        <f>IF(K107="WAIVED","WAIVED",IF(H107="","OPEN",IF(S107="BLOCKED","BLOCKED",IF(S107="FAIL","FAILING",IF(S107="PASS",IF(AA107&lt;&gt;"","AT_RISK",IF(AC107&lt;&gt;"","CLOSED","PASSING")),"COVERED")))))</f>
        <v/>
      </c>
      <c r="AC107" s="16" t="inlineStr"/>
      <c r="AD107" s="16" t="inlineStr"/>
      <c r="AE107" s="16" t="inlineStr"/>
      <c r="AF107" s="16" t="inlineStr">
        <is>
          <t>1.0.0</t>
        </is>
      </c>
      <c r="AG107" s="16" t="inlineStr">
        <is>
          <t>ZUBoard 1CG / Basys 3</t>
        </is>
      </c>
      <c r="AH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is>
          <t>Structural</t>
        </is>
      </c>
      <c r="O108" s="16" t="inlineStr">
        <is>
          <t>ALL</t>
        </is>
      </c>
      <c r="P108" s="16" t="inlineStr"/>
      <c r="Q108" s="16" t="inlineStr">
        <is>
          <t>vhdl/buffered_axi_lite_uart.vhd</t>
        </is>
      </c>
      <c r="R108" s="16" t="inlineStr">
        <is>
          <t>RTL</t>
        </is>
      </c>
      <c r="S108" s="16" t="inlineStr">
        <is>
          <t>PASS</t>
        </is>
      </c>
      <c r="T108" s="16" t="inlineStr">
        <is>
          <t>2026-04-16</t>
        </is>
      </c>
      <c r="U108" s="16" t="inlineStr">
        <is>
          <t>39c48ee</t>
        </is>
      </c>
      <c r="V108" s="16" t="inlineStr">
        <is>
          <t>ip/buffered_axi_lite_uart/tb/scripts/vivado/xsim.log</t>
        </is>
      </c>
      <c r="W108" s="16" t="inlineStr">
        <is>
          <t>NOT_RUN</t>
        </is>
      </c>
      <c r="X108" s="16" t="inlineStr"/>
      <c r="AA108" s="16" t="inlineStr"/>
      <c r="AB108" s="17">
        <f>IF(K108="WAIVED","WAIVED",IF(H108="","OPEN",IF(S108="BLOCKED","BLOCKED",IF(S108="FAIL","FAILING",IF(S108="PASS",IF(AA108&lt;&gt;"","AT_RISK",IF(AC108&lt;&gt;"","CLOSED","PASSING")),"COVERED")))))</f>
        <v/>
      </c>
      <c r="AC108" s="16" t="inlineStr"/>
      <c r="AD108" s="16" t="inlineStr"/>
      <c r="AE108" s="16" t="inlineStr"/>
      <c r="AF108" s="16" t="inlineStr">
        <is>
          <t>1.0.0</t>
        </is>
      </c>
      <c r="AG108" s="16" t="inlineStr">
        <is>
          <t>ZUBoard 1CG / Basys 3</t>
        </is>
      </c>
      <c r="AH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is>
          <t>Structural</t>
        </is>
      </c>
      <c r="O109" s="16" t="inlineStr">
        <is>
          <t>ALL</t>
        </is>
      </c>
      <c r="P109" s="16" t="inlineStr"/>
      <c r="Q109" s="16" t="inlineStr">
        <is>
          <t>vhdl/buffered_axi_lite_uart.vhd</t>
        </is>
      </c>
      <c r="R109" s="16" t="inlineStr">
        <is>
          <t>RTL</t>
        </is>
      </c>
      <c r="S109" s="16" t="inlineStr">
        <is>
          <t>PASS</t>
        </is>
      </c>
      <c r="T109" s="16" t="inlineStr">
        <is>
          <t>2026-04-16</t>
        </is>
      </c>
      <c r="U109" s="16" t="inlineStr">
        <is>
          <t>39c48ee</t>
        </is>
      </c>
      <c r="V109" s="16" t="inlineStr">
        <is>
          <t>ip/buffered_axi_lite_uart/tb/scripts/vivado/xsim.log</t>
        </is>
      </c>
      <c r="W109" s="16" t="inlineStr">
        <is>
          <t>NOT_RUN</t>
        </is>
      </c>
      <c r="X109" s="16" t="inlineStr"/>
      <c r="AA109" s="16" t="inlineStr"/>
      <c r="AB109" s="17">
        <f>IF(K109="WAIVED","WAIVED",IF(H109="","OPEN",IF(S109="BLOCKED","BLOCKED",IF(S109="FAIL","FAILING",IF(S109="PASS",IF(AA109&lt;&gt;"","AT_RISK",IF(AC109&lt;&gt;"","CLOSED","PASSING")),"COVERED")))))</f>
        <v/>
      </c>
      <c r="AC109" s="16" t="inlineStr"/>
      <c r="AD109" s="16" t="inlineStr"/>
      <c r="AE109" s="16" t="inlineStr"/>
      <c r="AF109" s="16" t="inlineStr">
        <is>
          <t>1.0.0</t>
        </is>
      </c>
      <c r="AG109" s="16" t="inlineStr">
        <is>
          <t>ZUBoard 1CG / Basys 3</t>
        </is>
      </c>
      <c r="AH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is>
          <t>Structural</t>
        </is>
      </c>
      <c r="O110" s="16" t="inlineStr">
        <is>
          <t>ALL</t>
        </is>
      </c>
      <c r="P110" s="16" t="inlineStr"/>
      <c r="Q110" s="16" t="inlineStr">
        <is>
          <t>vhdl/buffered_axi_lite_uart.vhd</t>
        </is>
      </c>
      <c r="R110" s="16" t="inlineStr">
        <is>
          <t>RTL</t>
        </is>
      </c>
      <c r="S110" s="16" t="inlineStr">
        <is>
          <t>PASS</t>
        </is>
      </c>
      <c r="T110" s="16" t="inlineStr">
        <is>
          <t>2026-04-16</t>
        </is>
      </c>
      <c r="U110" s="16" t="inlineStr">
        <is>
          <t>39c48ee</t>
        </is>
      </c>
      <c r="V110" s="16" t="inlineStr">
        <is>
          <t>ip/buffered_axi_lite_uart/tb/scripts/vivado/xsim.log</t>
        </is>
      </c>
      <c r="W110" s="16" t="inlineStr">
        <is>
          <t>NOT_RUN</t>
        </is>
      </c>
      <c r="X110" s="16" t="inlineStr"/>
      <c r="AA110" s="16" t="inlineStr"/>
      <c r="AB110" s="17">
        <f>IF(K110="WAIVED","WAIVED",IF(H110="","OPEN",IF(S110="BLOCKED","BLOCKED",IF(S110="FAIL","FAILING",IF(S110="PASS",IF(AA110&lt;&gt;"","AT_RISK",IF(AC110&lt;&gt;"","CLOSED","PASSING")),"COVERED")))))</f>
        <v/>
      </c>
      <c r="AC110" s="16" t="inlineStr"/>
      <c r="AD110" s="16" t="inlineStr"/>
      <c r="AE110" s="16" t="inlineStr"/>
      <c r="AF110" s="16" t="inlineStr">
        <is>
          <t>1.0.0</t>
        </is>
      </c>
      <c r="AG110" s="16" t="inlineStr">
        <is>
          <t>ZUBoard 1CG / Basys 3</t>
        </is>
      </c>
      <c r="AH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is>
          <t>Structural</t>
        </is>
      </c>
      <c r="O111" s="16" t="inlineStr">
        <is>
          <t>ALL</t>
        </is>
      </c>
      <c r="P111" s="16" t="inlineStr"/>
      <c r="Q111" s="16" t="inlineStr">
        <is>
          <t>vhdl/buffered_axi_lite_uart.vhd</t>
        </is>
      </c>
      <c r="R111" s="16" t="inlineStr">
        <is>
          <t>RTL</t>
        </is>
      </c>
      <c r="S111" s="16" t="inlineStr">
        <is>
          <t>PASS</t>
        </is>
      </c>
      <c r="T111" s="16" t="inlineStr">
        <is>
          <t>2026-04-16</t>
        </is>
      </c>
      <c r="U111" s="16" t="inlineStr">
        <is>
          <t>39c48ee</t>
        </is>
      </c>
      <c r="V111" s="16" t="inlineStr">
        <is>
          <t>ip/buffered_axi_lite_uart/tb/scripts/vivado/xsim.log</t>
        </is>
      </c>
      <c r="W111" s="16" t="inlineStr">
        <is>
          <t>NOT_RUN</t>
        </is>
      </c>
      <c r="X111" s="16" t="inlineStr"/>
      <c r="AA111" s="16" t="inlineStr"/>
      <c r="AB111" s="17">
        <f>IF(K111="WAIVED","WAIVED",IF(H111="","OPEN",IF(S111="BLOCKED","BLOCKED",IF(S111="FAIL","FAILING",IF(S111="PASS",IF(AA111&lt;&gt;"","AT_RISK",IF(AC111&lt;&gt;"","CLOSED","PASSING")),"COVERED")))))</f>
        <v/>
      </c>
      <c r="AC111" s="16" t="inlineStr"/>
      <c r="AD111" s="16" t="inlineStr"/>
      <c r="AE111" s="16" t="inlineStr"/>
      <c r="AF111" s="16" t="inlineStr">
        <is>
          <t>1.0.0</t>
        </is>
      </c>
      <c r="AG111" s="16" t="inlineStr">
        <is>
          <t>ZUBoard 1CG / Basys 3</t>
        </is>
      </c>
      <c r="AH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is>
          <t>Structural</t>
        </is>
      </c>
      <c r="O112" s="16" t="inlineStr">
        <is>
          <t>ALL</t>
        </is>
      </c>
      <c r="P112" s="16" t="inlineStr"/>
      <c r="Q112" s="16" t="inlineStr">
        <is>
          <t>vhdl/buffered_axi_lite_uart.vhd</t>
        </is>
      </c>
      <c r="R112" s="16" t="inlineStr">
        <is>
          <t>RTL</t>
        </is>
      </c>
      <c r="S112" s="16" t="inlineStr">
        <is>
          <t>PASS</t>
        </is>
      </c>
      <c r="T112" s="16" t="inlineStr">
        <is>
          <t>2026-04-16</t>
        </is>
      </c>
      <c r="U112" s="16" t="inlineStr">
        <is>
          <t>39c48ee</t>
        </is>
      </c>
      <c r="V112" s="16" t="inlineStr">
        <is>
          <t>ip/buffered_axi_lite_uart/tb/scripts/vivado/xsim.log</t>
        </is>
      </c>
      <c r="W112" s="16" t="inlineStr">
        <is>
          <t>NOT_RUN</t>
        </is>
      </c>
      <c r="X112" s="16" t="inlineStr"/>
      <c r="AA112" s="16" t="inlineStr"/>
      <c r="AB112" s="17">
        <f>IF(K112="WAIVED","WAIVED",IF(H112="","OPEN",IF(S112="BLOCKED","BLOCKED",IF(S112="FAIL","FAILING",IF(S112="PASS",IF(AA112&lt;&gt;"","AT_RISK",IF(AC112&lt;&gt;"","CLOSED","PASSING")),"COVERED")))))</f>
        <v/>
      </c>
      <c r="AC112" s="16" t="inlineStr"/>
      <c r="AD112" s="16" t="inlineStr"/>
      <c r="AE112" s="16" t="inlineStr"/>
      <c r="AF112" s="16" t="inlineStr">
        <is>
          <t>1.0.0</t>
        </is>
      </c>
      <c r="AG112" s="16" t="inlineStr">
        <is>
          <t>ZUBoard 1CG / Basys 3</t>
        </is>
      </c>
      <c r="AH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is>
          <t>Structural</t>
        </is>
      </c>
      <c r="O113" s="16" t="inlineStr">
        <is>
          <t>ALL</t>
        </is>
      </c>
      <c r="P113" s="16" t="inlineStr"/>
      <c r="Q113" s="16" t="inlineStr">
        <is>
          <t>vhdl/buffered_axi_lite_uart.vhd</t>
        </is>
      </c>
      <c r="R113" s="16" t="inlineStr">
        <is>
          <t>RTL</t>
        </is>
      </c>
      <c r="S113" s="16" t="inlineStr">
        <is>
          <t>PASS</t>
        </is>
      </c>
      <c r="T113" s="16" t="inlineStr">
        <is>
          <t>2026-04-16</t>
        </is>
      </c>
      <c r="U113" s="16" t="inlineStr">
        <is>
          <t>39c48ee</t>
        </is>
      </c>
      <c r="V113" s="16" t="inlineStr">
        <is>
          <t>ip/buffered_axi_lite_uart/tb/scripts/vivado/xsim.log</t>
        </is>
      </c>
      <c r="W113" s="16" t="inlineStr">
        <is>
          <t>NOT_RUN</t>
        </is>
      </c>
      <c r="X113" s="16" t="inlineStr"/>
      <c r="AA113" s="16" t="inlineStr"/>
      <c r="AB113" s="17">
        <f>IF(K113="WAIVED","WAIVED",IF(H113="","OPEN",IF(S113="BLOCKED","BLOCKED",IF(S113="FAIL","FAILING",IF(S113="PASS",IF(AA113&lt;&gt;"","AT_RISK",IF(AC113&lt;&gt;"","CLOSED","PASSING")),"COVERED")))))</f>
        <v/>
      </c>
      <c r="AC113" s="16" t="inlineStr"/>
      <c r="AD113" s="16" t="inlineStr"/>
      <c r="AE113" s="16" t="inlineStr"/>
      <c r="AF113" s="16" t="inlineStr">
        <is>
          <t>1.0.0</t>
        </is>
      </c>
      <c r="AG113" s="16" t="inlineStr">
        <is>
          <t>ZUBoard 1CG / Basys 3</t>
        </is>
      </c>
      <c r="AH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is>
          <t>Structural</t>
        </is>
      </c>
      <c r="O114" s="16" t="inlineStr">
        <is>
          <t>ALL</t>
        </is>
      </c>
      <c r="P114" s="16" t="inlineStr"/>
      <c r="Q114" s="16" t="inlineStr">
        <is>
          <t>vhdl/buffered_axi_lite_uart.vhd</t>
        </is>
      </c>
      <c r="R114" s="16" t="inlineStr">
        <is>
          <t>RTL</t>
        </is>
      </c>
      <c r="S114" s="16" t="inlineStr">
        <is>
          <t>PASS</t>
        </is>
      </c>
      <c r="T114" s="16" t="inlineStr">
        <is>
          <t>2026-04-16</t>
        </is>
      </c>
      <c r="U114" s="16" t="inlineStr">
        <is>
          <t>39c48ee</t>
        </is>
      </c>
      <c r="V114" s="16" t="inlineStr">
        <is>
          <t>ip/buffered_axi_lite_uart/tb/scripts/vivado/xsim.log</t>
        </is>
      </c>
      <c r="W114" s="16" t="inlineStr">
        <is>
          <t>NOT_RUN</t>
        </is>
      </c>
      <c r="X114" s="16" t="inlineStr"/>
      <c r="AA114" s="16" t="inlineStr"/>
      <c r="AB114" s="17">
        <f>IF(K114="WAIVED","WAIVED",IF(H114="","OPEN",IF(S114="BLOCKED","BLOCKED",IF(S114="FAIL","FAILING",IF(S114="PASS",IF(AA114&lt;&gt;"","AT_RISK",IF(AC114&lt;&gt;"","CLOSED","PASSING")),"COVERED")))))</f>
        <v/>
      </c>
      <c r="AC114" s="16" t="inlineStr"/>
      <c r="AD114" s="16" t="inlineStr"/>
      <c r="AE114" s="16" t="inlineStr"/>
      <c r="AF114" s="16" t="inlineStr">
        <is>
          <t>1.0.0</t>
        </is>
      </c>
      <c r="AG114" s="16" t="inlineStr">
        <is>
          <t>ZUBoard 1CG / Basys 3</t>
        </is>
      </c>
      <c r="AH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is>
          <t>Structural</t>
        </is>
      </c>
      <c r="O115" s="16" t="inlineStr">
        <is>
          <t>ALL</t>
        </is>
      </c>
      <c r="P115" s="16" t="inlineStr"/>
      <c r="Q115" s="16" t="inlineStr">
        <is>
          <t>vhdl/buffered_axi_lite_uart.vhd</t>
        </is>
      </c>
      <c r="R115" s="16" t="inlineStr">
        <is>
          <t>RTL</t>
        </is>
      </c>
      <c r="S115" s="16" t="inlineStr">
        <is>
          <t>PASS</t>
        </is>
      </c>
      <c r="T115" s="16" t="inlineStr">
        <is>
          <t>2026-04-16</t>
        </is>
      </c>
      <c r="U115" s="16" t="inlineStr">
        <is>
          <t>39c48ee</t>
        </is>
      </c>
      <c r="V115" s="16" t="inlineStr">
        <is>
          <t>ip/buffered_axi_lite_uart/tb/scripts/vivado/xsim.log</t>
        </is>
      </c>
      <c r="W115" s="16" t="inlineStr">
        <is>
          <t>NOT_RUN</t>
        </is>
      </c>
      <c r="X115" s="16" t="inlineStr"/>
      <c r="AA115" s="16" t="inlineStr"/>
      <c r="AB115" s="17">
        <f>IF(K115="WAIVED","WAIVED",IF(H115="","OPEN",IF(S115="BLOCKED","BLOCKED",IF(S115="FAIL","FAILING",IF(S115="PASS",IF(AA115&lt;&gt;"","AT_RISK",IF(AC115&lt;&gt;"","CLOSED","PASSING")),"COVERED")))))</f>
        <v/>
      </c>
      <c r="AC115" s="16" t="inlineStr"/>
      <c r="AD115" s="16" t="inlineStr"/>
      <c r="AE115" s="16" t="inlineStr"/>
      <c r="AF115" s="16" t="inlineStr">
        <is>
          <t>1.0.0</t>
        </is>
      </c>
      <c r="AG115" s="16" t="inlineStr">
        <is>
          <t>ZUBoard 1CG / Basys 3</t>
        </is>
      </c>
      <c r="AH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is>
          <t>Structural</t>
        </is>
      </c>
      <c r="O116" s="16" t="inlineStr">
        <is>
          <t>ALL</t>
        </is>
      </c>
      <c r="P116" s="16" t="inlineStr"/>
      <c r="Q116" s="16" t="inlineStr">
        <is>
          <t>vhdl/buffered_axi_lite_uart.vhd</t>
        </is>
      </c>
      <c r="R116" s="16" t="inlineStr">
        <is>
          <t>RTL</t>
        </is>
      </c>
      <c r="S116" s="16" t="inlineStr">
        <is>
          <t>PASS</t>
        </is>
      </c>
      <c r="T116" s="16" t="inlineStr">
        <is>
          <t>2026-04-16</t>
        </is>
      </c>
      <c r="U116" s="16" t="inlineStr">
        <is>
          <t>39c48ee</t>
        </is>
      </c>
      <c r="V116" s="16" t="inlineStr">
        <is>
          <t>ip/buffered_axi_lite_uart/tb/scripts/vivado/xsim.log</t>
        </is>
      </c>
      <c r="W116" s="16" t="inlineStr">
        <is>
          <t>NOT_RUN</t>
        </is>
      </c>
      <c r="X116" s="16" t="inlineStr"/>
      <c r="AA116" s="16" t="inlineStr"/>
      <c r="AB116" s="17">
        <f>IF(K116="WAIVED","WAIVED",IF(H116="","OPEN",IF(S116="BLOCKED","BLOCKED",IF(S116="FAIL","FAILING",IF(S116="PASS",IF(AA116&lt;&gt;"","AT_RISK",IF(AC116&lt;&gt;"","CLOSED","PASSING")),"COVERED")))))</f>
        <v/>
      </c>
      <c r="AC116" s="16" t="inlineStr"/>
      <c r="AD116" s="16" t="inlineStr"/>
      <c r="AE116" s="16" t="inlineStr"/>
      <c r="AF116" s="16" t="inlineStr">
        <is>
          <t>1.0.0</t>
        </is>
      </c>
      <c r="AG116" s="16" t="inlineStr">
        <is>
          <t>ZUBoard 1CG / Basys 3</t>
        </is>
      </c>
      <c r="AH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is>
          <t>Structural</t>
        </is>
      </c>
      <c r="O117" s="16" t="inlineStr">
        <is>
          <t>ALL</t>
        </is>
      </c>
      <c r="P117" s="16" t="inlineStr"/>
      <c r="Q117" s="16" t="inlineStr">
        <is>
          <t>vhdl/buffered_axi_lite_uart.vhd</t>
        </is>
      </c>
      <c r="R117" s="16" t="inlineStr">
        <is>
          <t>RTL</t>
        </is>
      </c>
      <c r="S117" s="16" t="inlineStr">
        <is>
          <t>PASS</t>
        </is>
      </c>
      <c r="T117" s="16" t="inlineStr">
        <is>
          <t>2026-04-16</t>
        </is>
      </c>
      <c r="U117" s="16" t="inlineStr">
        <is>
          <t>39c48ee</t>
        </is>
      </c>
      <c r="V117" s="16" t="inlineStr">
        <is>
          <t>ip/buffered_axi_lite_uart/tb/scripts/vivado/xsim.log</t>
        </is>
      </c>
      <c r="W117" s="16" t="inlineStr">
        <is>
          <t>NOT_RUN</t>
        </is>
      </c>
      <c r="X117" s="16" t="inlineStr"/>
      <c r="AA117" s="16" t="inlineStr"/>
      <c r="AB117" s="17">
        <f>IF(K117="WAIVED","WAIVED",IF(H117="","OPEN",IF(S117="BLOCKED","BLOCKED",IF(S117="FAIL","FAILING",IF(S117="PASS",IF(AA117&lt;&gt;"","AT_RISK",IF(AC117&lt;&gt;"","CLOSED","PASSING")),"COVERED")))))</f>
        <v/>
      </c>
      <c r="AC117" s="16" t="inlineStr"/>
      <c r="AD117" s="16" t="inlineStr"/>
      <c r="AE117" s="16" t="inlineStr"/>
      <c r="AF117" s="16" t="inlineStr">
        <is>
          <t>1.0.0</t>
        </is>
      </c>
      <c r="AG117" s="16" t="inlineStr">
        <is>
          <t>ZUBoard 1CG / Basys 3</t>
        </is>
      </c>
      <c r="AH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is>
          <t>Structural</t>
        </is>
      </c>
      <c r="O118" s="16" t="inlineStr">
        <is>
          <t>ALL</t>
        </is>
      </c>
      <c r="P118" s="16" t="inlineStr"/>
      <c r="Q118" s="16" t="inlineStr">
        <is>
          <t>vhdl/buffered_axi_lite_uart.vhd</t>
        </is>
      </c>
      <c r="R118" s="16" t="inlineStr">
        <is>
          <t>RTL</t>
        </is>
      </c>
      <c r="S118" s="16" t="inlineStr">
        <is>
          <t>PASS</t>
        </is>
      </c>
      <c r="T118" s="16" t="inlineStr">
        <is>
          <t>2026-04-16</t>
        </is>
      </c>
      <c r="U118" s="16" t="inlineStr">
        <is>
          <t>39c48ee</t>
        </is>
      </c>
      <c r="V118" s="16" t="inlineStr">
        <is>
          <t>ip/buffered_axi_lite_uart/tb/scripts/vivado/xsim.log</t>
        </is>
      </c>
      <c r="W118" s="16" t="inlineStr">
        <is>
          <t>NOT_RUN</t>
        </is>
      </c>
      <c r="X118" s="16" t="inlineStr"/>
      <c r="AA118" s="16" t="inlineStr"/>
      <c r="AB118" s="17">
        <f>IF(K118="WAIVED","WAIVED",IF(H118="","OPEN",IF(S118="BLOCKED","BLOCKED",IF(S118="FAIL","FAILING",IF(S118="PASS",IF(AA118&lt;&gt;"","AT_RISK",IF(AC118&lt;&gt;"","CLOSED","PASSING")),"COVERED")))))</f>
        <v/>
      </c>
      <c r="AC118" s="16" t="inlineStr"/>
      <c r="AD118" s="16" t="inlineStr"/>
      <c r="AE118" s="16" t="inlineStr"/>
      <c r="AF118" s="16" t="inlineStr">
        <is>
          <t>1.0.0</t>
        </is>
      </c>
      <c r="AG118" s="16" t="inlineStr">
        <is>
          <t>ZUBoard 1CG / Basys 3</t>
        </is>
      </c>
      <c r="AH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is>
          <t>Structural</t>
        </is>
      </c>
      <c r="O119" s="16" t="inlineStr">
        <is>
          <t>ALL</t>
        </is>
      </c>
      <c r="P119" s="16" t="inlineStr"/>
      <c r="Q119" s="16" t="inlineStr">
        <is>
          <t>vhdl/buffered_axi_lite_uart.vhd</t>
        </is>
      </c>
      <c r="R119" s="16" t="inlineStr">
        <is>
          <t>RTL</t>
        </is>
      </c>
      <c r="S119" s="16" t="inlineStr">
        <is>
          <t>PASS</t>
        </is>
      </c>
      <c r="T119" s="16" t="inlineStr">
        <is>
          <t>2026-04-16</t>
        </is>
      </c>
      <c r="U119" s="16" t="inlineStr">
        <is>
          <t>39c48ee</t>
        </is>
      </c>
      <c r="V119" s="16" t="inlineStr">
        <is>
          <t>ip/buffered_axi_lite_uart/tb/scripts/vivado/xsim.log</t>
        </is>
      </c>
      <c r="W119" s="16" t="inlineStr">
        <is>
          <t>NOT_RUN</t>
        </is>
      </c>
      <c r="X119" s="16" t="inlineStr"/>
      <c r="AA119" s="16" t="inlineStr"/>
      <c r="AB119" s="17">
        <f>IF(K119="WAIVED","WAIVED",IF(H119="","OPEN",IF(S119="BLOCKED","BLOCKED",IF(S119="FAIL","FAILING",IF(S119="PASS",IF(AA119&lt;&gt;"","AT_RISK",IF(AC119&lt;&gt;"","CLOSED","PASSING")),"COVERED")))))</f>
        <v/>
      </c>
      <c r="AC119" s="16" t="inlineStr"/>
      <c r="AD119" s="16" t="inlineStr"/>
      <c r="AE119" s="16" t="inlineStr"/>
      <c r="AF119" s="16" t="inlineStr">
        <is>
          <t>1.0.0</t>
        </is>
      </c>
      <c r="AG119" s="16" t="inlineStr">
        <is>
          <t>ZUBoard 1CG / Basys 3</t>
        </is>
      </c>
      <c r="AH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is>
          <t>Structural</t>
        </is>
      </c>
      <c r="O120" s="16" t="inlineStr">
        <is>
          <t>ALL</t>
        </is>
      </c>
      <c r="P120" s="16" t="inlineStr"/>
      <c r="Q120" s="16" t="inlineStr">
        <is>
          <t>vhdl/buffered_axi_lite_uart.vhd</t>
        </is>
      </c>
      <c r="R120" s="16" t="inlineStr">
        <is>
          <t>RTL</t>
        </is>
      </c>
      <c r="S120" s="16" t="inlineStr">
        <is>
          <t>PASS</t>
        </is>
      </c>
      <c r="T120" s="16" t="inlineStr">
        <is>
          <t>2026-04-16</t>
        </is>
      </c>
      <c r="U120" s="16" t="inlineStr">
        <is>
          <t>39c48ee</t>
        </is>
      </c>
      <c r="V120" s="16" t="inlineStr">
        <is>
          <t>ip/buffered_axi_lite_uart/tb/scripts/vivado/xsim.log</t>
        </is>
      </c>
      <c r="W120" s="16" t="inlineStr">
        <is>
          <t>NOT_RUN</t>
        </is>
      </c>
      <c r="X120" s="16" t="inlineStr"/>
      <c r="AA120" s="16" t="inlineStr"/>
      <c r="AB120" s="17">
        <f>IF(K120="WAIVED","WAIVED",IF(H120="","OPEN",IF(S120="BLOCKED","BLOCKED",IF(S120="FAIL","FAILING",IF(S120="PASS",IF(AA120&lt;&gt;"","AT_RISK",IF(AC120&lt;&gt;"","CLOSED","PASSING")),"COVERED")))))</f>
        <v/>
      </c>
      <c r="AC120" s="16" t="inlineStr"/>
      <c r="AD120" s="16" t="inlineStr"/>
      <c r="AE120" s="16" t="inlineStr"/>
      <c r="AF120" s="16" t="inlineStr">
        <is>
          <t>1.0.0</t>
        </is>
      </c>
      <c r="AG120" s="16" t="inlineStr">
        <is>
          <t>ZUBoard 1CG / Basys 3</t>
        </is>
      </c>
      <c r="AH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is>
          <t>Structural</t>
        </is>
      </c>
      <c r="O121" s="16" t="inlineStr">
        <is>
          <t>ALL</t>
        </is>
      </c>
      <c r="P121" s="16" t="inlineStr"/>
      <c r="Q121" s="16" t="inlineStr">
        <is>
          <t>vhdl/buffered_axi_lite_uart.vhd</t>
        </is>
      </c>
      <c r="R121" s="16" t="inlineStr">
        <is>
          <t>RTL</t>
        </is>
      </c>
      <c r="S121" s="16" t="inlineStr">
        <is>
          <t>PASS</t>
        </is>
      </c>
      <c r="T121" s="16" t="inlineStr">
        <is>
          <t>2026-04-16</t>
        </is>
      </c>
      <c r="U121" s="16" t="inlineStr">
        <is>
          <t>39c48ee</t>
        </is>
      </c>
      <c r="V121" s="16" t="inlineStr">
        <is>
          <t>ip/buffered_axi_lite_uart/tb/scripts/vivado/xsim.log</t>
        </is>
      </c>
      <c r="W121" s="16" t="inlineStr">
        <is>
          <t>NOT_RUN</t>
        </is>
      </c>
      <c r="X121" s="16" t="inlineStr"/>
      <c r="AA121" s="16" t="inlineStr"/>
      <c r="AB121" s="17">
        <f>IF(K121="WAIVED","WAIVED",IF(H121="","OPEN",IF(S121="BLOCKED","BLOCKED",IF(S121="FAIL","FAILING",IF(S121="PASS",IF(AA121&lt;&gt;"","AT_RISK",IF(AC121&lt;&gt;"","CLOSED","PASSING")),"COVERED")))))</f>
        <v/>
      </c>
      <c r="AC121" s="16" t="inlineStr"/>
      <c r="AD121" s="16" t="inlineStr"/>
      <c r="AE121" s="16" t="inlineStr"/>
      <c r="AF121" s="16" t="inlineStr">
        <is>
          <t>1.0.0</t>
        </is>
      </c>
      <c r="AG121" s="16" t="inlineStr">
        <is>
          <t>ZUBoard 1CG / Basys 3</t>
        </is>
      </c>
      <c r="AH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is>
          <t>Structural</t>
        </is>
      </c>
      <c r="O122" s="16" t="inlineStr">
        <is>
          <t>ALL</t>
        </is>
      </c>
      <c r="P122" s="16" t="inlineStr"/>
      <c r="Q122" s="16" t="inlineStr">
        <is>
          <t>vhdl/buffered_axi_lite_uart.vhd</t>
        </is>
      </c>
      <c r="R122" s="16" t="inlineStr">
        <is>
          <t>RTL</t>
        </is>
      </c>
      <c r="S122" s="16" t="inlineStr">
        <is>
          <t>PASS</t>
        </is>
      </c>
      <c r="T122" s="16" t="inlineStr">
        <is>
          <t>2026-04-16</t>
        </is>
      </c>
      <c r="U122" s="16" t="inlineStr">
        <is>
          <t>39c48ee</t>
        </is>
      </c>
      <c r="V122" s="16" t="inlineStr">
        <is>
          <t>ip/buffered_axi_lite_uart/tb/scripts/vivado/xsim.log</t>
        </is>
      </c>
      <c r="W122" s="16" t="inlineStr">
        <is>
          <t>NOT_RUN</t>
        </is>
      </c>
      <c r="X122" s="16" t="inlineStr"/>
      <c r="AA122" s="16" t="inlineStr"/>
      <c r="AB122" s="17">
        <f>IF(K122="WAIVED","WAIVED",IF(H122="","OPEN",IF(S122="BLOCKED","BLOCKED",IF(S122="FAIL","FAILING",IF(S122="PASS",IF(AA122&lt;&gt;"","AT_RISK",IF(AC122&lt;&gt;"","CLOSED","PASSING")),"COVERED")))))</f>
        <v/>
      </c>
      <c r="AC122" s="16" t="inlineStr"/>
      <c r="AD122" s="16" t="inlineStr"/>
      <c r="AE122" s="16" t="inlineStr"/>
      <c r="AF122" s="16" t="inlineStr">
        <is>
          <t>1.0.0</t>
        </is>
      </c>
      <c r="AG122" s="16" t="inlineStr">
        <is>
          <t>ZUBoard 1CG / Basys 3</t>
        </is>
      </c>
      <c r="AH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is>
          <t>Structural</t>
        </is>
      </c>
      <c r="O123" s="16" t="inlineStr">
        <is>
          <t>ALL</t>
        </is>
      </c>
      <c r="P123" s="16" t="inlineStr"/>
      <c r="Q123" s="16" t="inlineStr">
        <is>
          <t>vhdl/buffered_axi_lite_uart.vhd</t>
        </is>
      </c>
      <c r="R123" s="16" t="inlineStr">
        <is>
          <t>RTL</t>
        </is>
      </c>
      <c r="S123" s="16" t="inlineStr">
        <is>
          <t>PASS</t>
        </is>
      </c>
      <c r="T123" s="16" t="inlineStr">
        <is>
          <t>2026-04-16</t>
        </is>
      </c>
      <c r="U123" s="16" t="inlineStr">
        <is>
          <t>39c48ee</t>
        </is>
      </c>
      <c r="V123" s="16" t="inlineStr">
        <is>
          <t>ip/buffered_axi_lite_uart/tb/scripts/vivado/xsim.log</t>
        </is>
      </c>
      <c r="W123" s="16" t="inlineStr">
        <is>
          <t>NOT_RUN</t>
        </is>
      </c>
      <c r="X123" s="16" t="inlineStr"/>
      <c r="AA123" s="16" t="inlineStr"/>
      <c r="AB123" s="17">
        <f>IF(K123="WAIVED","WAIVED",IF(H123="","OPEN",IF(S123="BLOCKED","BLOCKED",IF(S123="FAIL","FAILING",IF(S123="PASS",IF(AA123&lt;&gt;"","AT_RISK",IF(AC123&lt;&gt;"","CLOSED","PASSING")),"COVERED")))))</f>
        <v/>
      </c>
      <c r="AC123" s="16" t="inlineStr"/>
      <c r="AD123" s="16" t="inlineStr"/>
      <c r="AE123" s="16" t="inlineStr"/>
      <c r="AF123" s="16" t="inlineStr">
        <is>
          <t>1.0.0</t>
        </is>
      </c>
      <c r="AG123" s="16" t="inlineStr">
        <is>
          <t>ZUBoard 1CG / Basys 3</t>
        </is>
      </c>
      <c r="AH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is>
          <t>Structural</t>
        </is>
      </c>
      <c r="O124" s="16" t="inlineStr">
        <is>
          <t>ALL</t>
        </is>
      </c>
      <c r="P124" s="16" t="inlineStr"/>
      <c r="Q124" s="16" t="inlineStr">
        <is>
          <t>vhdl/buffered_axi_lite_uart.vhd</t>
        </is>
      </c>
      <c r="R124" s="16" t="inlineStr">
        <is>
          <t>RTL</t>
        </is>
      </c>
      <c r="S124" s="16" t="inlineStr">
        <is>
          <t>PASS</t>
        </is>
      </c>
      <c r="T124" s="16" t="inlineStr">
        <is>
          <t>2026-04-16</t>
        </is>
      </c>
      <c r="U124" s="16" t="inlineStr">
        <is>
          <t>39c48ee</t>
        </is>
      </c>
      <c r="V124" s="16" t="inlineStr">
        <is>
          <t>ip/buffered_axi_lite_uart/tb/scripts/vivado/xsim.log</t>
        </is>
      </c>
      <c r="W124" s="16" t="inlineStr">
        <is>
          <t>NOT_RUN</t>
        </is>
      </c>
      <c r="X124" s="16" t="inlineStr"/>
      <c r="AA124" s="16" t="inlineStr"/>
      <c r="AB124" s="17">
        <f>IF(K124="WAIVED","WAIVED",IF(H124="","OPEN",IF(S124="BLOCKED","BLOCKED",IF(S124="FAIL","FAILING",IF(S124="PASS",IF(AA124&lt;&gt;"","AT_RISK",IF(AC124&lt;&gt;"","CLOSED","PASSING")),"COVERED")))))</f>
        <v/>
      </c>
      <c r="AC124" s="16" t="inlineStr"/>
      <c r="AD124" s="16" t="inlineStr"/>
      <c r="AE124" s="16" t="inlineStr"/>
      <c r="AF124" s="16" t="inlineStr">
        <is>
          <t>1.0.0</t>
        </is>
      </c>
      <c r="AG124" s="16" t="inlineStr">
        <is>
          <t>ZUBoard 1CG / Basys 3</t>
        </is>
      </c>
      <c r="AH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is>
          <t>Structural</t>
        </is>
      </c>
      <c r="O125" s="16" t="inlineStr">
        <is>
          <t>ALL</t>
        </is>
      </c>
      <c r="P125" s="16" t="inlineStr"/>
      <c r="Q125" s="16" t="inlineStr">
        <is>
          <t>vhdl/buffered_axi_lite_uart.vhd</t>
        </is>
      </c>
      <c r="R125" s="16" t="inlineStr">
        <is>
          <t>RTL</t>
        </is>
      </c>
      <c r="S125" s="16" t="inlineStr">
        <is>
          <t>PASS</t>
        </is>
      </c>
      <c r="T125" s="16" t="inlineStr">
        <is>
          <t>2026-04-16</t>
        </is>
      </c>
      <c r="U125" s="16" t="inlineStr">
        <is>
          <t>39c48ee</t>
        </is>
      </c>
      <c r="V125" s="16" t="inlineStr">
        <is>
          <t>ip/buffered_axi_lite_uart/tb/scripts/vivado/xsim.log</t>
        </is>
      </c>
      <c r="W125" s="16" t="inlineStr">
        <is>
          <t>NOT_RUN</t>
        </is>
      </c>
      <c r="X125" s="16" t="inlineStr"/>
      <c r="AA125" s="16" t="inlineStr"/>
      <c r="AB125" s="17">
        <f>IF(K125="WAIVED","WAIVED",IF(H125="","OPEN",IF(S125="BLOCKED","BLOCKED",IF(S125="FAIL","FAILING",IF(S125="PASS",IF(AA125&lt;&gt;"","AT_RISK",IF(AC125&lt;&gt;"","CLOSED","PASSING")),"COVERED")))))</f>
        <v/>
      </c>
      <c r="AC125" s="16" t="inlineStr"/>
      <c r="AD125" s="16" t="inlineStr"/>
      <c r="AE125" s="16" t="inlineStr"/>
      <c r="AF125" s="16" t="inlineStr">
        <is>
          <t>1.0.0</t>
        </is>
      </c>
      <c r="AG125" s="16" t="inlineStr">
        <is>
          <t>ZUBoard 1CG / Basys 3</t>
        </is>
      </c>
      <c r="AH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is>
          <t>Structural</t>
        </is>
      </c>
      <c r="O126" s="16" t="inlineStr">
        <is>
          <t>ALL</t>
        </is>
      </c>
      <c r="P126" s="16" t="inlineStr"/>
      <c r="Q126" s="16" t="inlineStr">
        <is>
          <t>vhdl/buffered_axi_lite_uart.vhd</t>
        </is>
      </c>
      <c r="R126" s="16" t="inlineStr">
        <is>
          <t>RTL</t>
        </is>
      </c>
      <c r="S126" s="16" t="inlineStr">
        <is>
          <t>PASS</t>
        </is>
      </c>
      <c r="T126" s="16" t="inlineStr">
        <is>
          <t>2026-04-16</t>
        </is>
      </c>
      <c r="U126" s="16" t="inlineStr">
        <is>
          <t>39c48ee</t>
        </is>
      </c>
      <c r="V126" s="16" t="inlineStr">
        <is>
          <t>ip/buffered_axi_lite_uart/tb/scripts/vivado/xsim.log</t>
        </is>
      </c>
      <c r="W126" s="16" t="inlineStr">
        <is>
          <t>NOT_RUN</t>
        </is>
      </c>
      <c r="X126" s="16" t="inlineStr"/>
      <c r="AA126" s="16" t="inlineStr"/>
      <c r="AB126" s="17">
        <f>IF(K126="WAIVED","WAIVED",IF(H126="","OPEN",IF(S126="BLOCKED","BLOCKED",IF(S126="FAIL","FAILING",IF(S126="PASS",IF(AA126&lt;&gt;"","AT_RISK",IF(AC126&lt;&gt;"","CLOSED","PASSING")),"COVERED")))))</f>
        <v/>
      </c>
      <c r="AC126" s="16" t="inlineStr"/>
      <c r="AD126" s="16" t="inlineStr"/>
      <c r="AE126" s="16" t="inlineStr"/>
      <c r="AF126" s="16" t="inlineStr">
        <is>
          <t>1.0.0</t>
        </is>
      </c>
      <c r="AG126" s="16" t="inlineStr">
        <is>
          <t>ZUBoard 1CG / Basys 3</t>
        </is>
      </c>
      <c r="AH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is>
          <t>Structural</t>
        </is>
      </c>
      <c r="O127" s="16" t="inlineStr">
        <is>
          <t>ALL</t>
        </is>
      </c>
      <c r="P127" s="16" t="inlineStr"/>
      <c r="Q127" s="16" t="inlineStr">
        <is>
          <t>vhdl/buffered_axi_lite_uart.vhd</t>
        </is>
      </c>
      <c r="R127" s="16" t="inlineStr">
        <is>
          <t>RTL</t>
        </is>
      </c>
      <c r="S127" s="16" t="inlineStr">
        <is>
          <t>PASS</t>
        </is>
      </c>
      <c r="T127" s="16" t="inlineStr">
        <is>
          <t>2026-04-16</t>
        </is>
      </c>
      <c r="U127" s="16" t="inlineStr">
        <is>
          <t>39c48ee</t>
        </is>
      </c>
      <c r="V127" s="16" t="inlineStr">
        <is>
          <t>ip/buffered_axi_lite_uart/tb/scripts/vivado/xsim.log</t>
        </is>
      </c>
      <c r="W127" s="16" t="inlineStr">
        <is>
          <t>NOT_RUN</t>
        </is>
      </c>
      <c r="X127" s="16" t="inlineStr"/>
      <c r="AA127" s="16" t="inlineStr"/>
      <c r="AB127" s="17">
        <f>IF(K127="WAIVED","WAIVED",IF(H127="","OPEN",IF(S127="BLOCKED","BLOCKED",IF(S127="FAIL","FAILING",IF(S127="PASS",IF(AA127&lt;&gt;"","AT_RISK",IF(AC127&lt;&gt;"","CLOSED","PASSING")),"COVERED")))))</f>
        <v/>
      </c>
      <c r="AC127" s="16" t="inlineStr"/>
      <c r="AD127" s="16" t="inlineStr"/>
      <c r="AE127" s="16" t="inlineStr"/>
      <c r="AF127" s="16" t="inlineStr">
        <is>
          <t>1.0.0</t>
        </is>
      </c>
      <c r="AG127" s="16" t="inlineStr">
        <is>
          <t>ZUBoard 1CG / Basys 3</t>
        </is>
      </c>
      <c r="AH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is>
          <t>Structural</t>
        </is>
      </c>
      <c r="O128" s="16" t="inlineStr">
        <is>
          <t>ALL</t>
        </is>
      </c>
      <c r="P128" s="16" t="inlineStr"/>
      <c r="Q128" s="16" t="inlineStr">
        <is>
          <t>vhdl/buffered_axi_lite_uart.vhd</t>
        </is>
      </c>
      <c r="R128" s="16" t="inlineStr">
        <is>
          <t>RTL</t>
        </is>
      </c>
      <c r="S128" s="16" t="inlineStr">
        <is>
          <t>PASS</t>
        </is>
      </c>
      <c r="T128" s="16" t="inlineStr">
        <is>
          <t>2026-04-16</t>
        </is>
      </c>
      <c r="U128" s="16" t="inlineStr">
        <is>
          <t>39c48ee</t>
        </is>
      </c>
      <c r="V128" s="16" t="inlineStr">
        <is>
          <t>ip/buffered_axi_lite_uart/tb/scripts/vivado/xsim.log</t>
        </is>
      </c>
      <c r="W128" s="16" t="inlineStr">
        <is>
          <t>NOT_RUN</t>
        </is>
      </c>
      <c r="X128" s="16" t="inlineStr"/>
      <c r="AA128" s="16" t="inlineStr"/>
      <c r="AB128" s="17">
        <f>IF(K128="WAIVED","WAIVED",IF(H128="","OPEN",IF(S128="BLOCKED","BLOCKED",IF(S128="FAIL","FAILING",IF(S128="PASS",IF(AA128&lt;&gt;"","AT_RISK",IF(AC128&lt;&gt;"","CLOSED","PASSING")),"COVERED")))))</f>
        <v/>
      </c>
      <c r="AC128" s="16" t="inlineStr"/>
      <c r="AD128" s="16" t="inlineStr"/>
      <c r="AE128" s="16" t="inlineStr"/>
      <c r="AF128" s="16" t="inlineStr">
        <is>
          <t>1.0.0</t>
        </is>
      </c>
      <c r="AG128" s="16" t="inlineStr">
        <is>
          <t>ZUBoard 1CG / Basys 3</t>
        </is>
      </c>
      <c r="AH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is>
          <t>Reset</t>
        </is>
      </c>
      <c r="O129" s="16" t="inlineStr">
        <is>
          <t>ALL</t>
        </is>
      </c>
      <c r="P129" s="16" t="inlineStr"/>
      <c r="Q129" s="16" t="inlineStr">
        <is>
          <t>vhdl/buffered_axi_lite_uart.vhd</t>
        </is>
      </c>
      <c r="R129" s="16" t="inlineStr">
        <is>
          <t>RTL</t>
        </is>
      </c>
      <c r="S129" s="16" t="inlineStr">
        <is>
          <t>PASS</t>
        </is>
      </c>
      <c r="T129" s="16" t="inlineStr">
        <is>
          <t>2026-04-16</t>
        </is>
      </c>
      <c r="U129" s="16" t="inlineStr">
        <is>
          <t>39c48ee</t>
        </is>
      </c>
      <c r="V129" s="16" t="inlineStr">
        <is>
          <t>ip/buffered_axi_lite_uart/tb/scripts/vivado/xsim.log</t>
        </is>
      </c>
      <c r="W129" s="16" t="inlineStr">
        <is>
          <t>NOT_RUN</t>
        </is>
      </c>
      <c r="X129" s="16" t="inlineStr"/>
      <c r="AA129" s="16" t="inlineStr"/>
      <c r="AB129" s="17">
        <f>IF(K129="WAIVED","WAIVED",IF(H129="","OPEN",IF(S129="BLOCKED","BLOCKED",IF(S129="FAIL","FAILING",IF(S129="PASS",IF(AA129&lt;&gt;"","AT_RISK",IF(AC129&lt;&gt;"","CLOSED","PASSING")),"COVERED")))))</f>
        <v/>
      </c>
      <c r="AC129" s="16" t="inlineStr"/>
      <c r="AD129" s="16" t="inlineStr"/>
      <c r="AE129" s="16" t="inlineStr"/>
      <c r="AF129" s="16" t="inlineStr">
        <is>
          <t>1.0.0</t>
        </is>
      </c>
      <c r="AG129" s="16" t="inlineStr">
        <is>
          <t>ZUBoard 1CG / Basys 3</t>
        </is>
      </c>
      <c r="AH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is>
          <t>Reset</t>
        </is>
      </c>
      <c r="O130" s="16" t="inlineStr">
        <is>
          <t>ALL</t>
        </is>
      </c>
      <c r="P130" s="16" t="inlineStr"/>
      <c r="Q130" s="16" t="inlineStr">
        <is>
          <t>vhdl/buffered_axi_lite_uart.vhd</t>
        </is>
      </c>
      <c r="R130" s="16" t="inlineStr">
        <is>
          <t>RTL</t>
        </is>
      </c>
      <c r="S130" s="16" t="inlineStr">
        <is>
          <t>PASS</t>
        </is>
      </c>
      <c r="T130" s="16" t="inlineStr">
        <is>
          <t>2026-04-16</t>
        </is>
      </c>
      <c r="U130" s="16" t="inlineStr">
        <is>
          <t>39c48ee</t>
        </is>
      </c>
      <c r="V130" s="16" t="inlineStr">
        <is>
          <t>ip/buffered_axi_lite_uart/tb/scripts/vivado/xsim.log</t>
        </is>
      </c>
      <c r="W130" s="16" t="inlineStr">
        <is>
          <t>NOT_RUN</t>
        </is>
      </c>
      <c r="X130" s="16" t="inlineStr"/>
      <c r="AA130" s="16" t="inlineStr"/>
      <c r="AB130" s="17">
        <f>IF(K130="WAIVED","WAIVED",IF(H130="","OPEN",IF(S130="BLOCKED","BLOCKED",IF(S130="FAIL","FAILING",IF(S130="PASS",IF(AA130&lt;&gt;"","AT_RISK",IF(AC130&lt;&gt;"","CLOSED","PASSING")),"COVERED")))))</f>
        <v/>
      </c>
      <c r="AC130" s="16" t="inlineStr"/>
      <c r="AD130" s="16" t="inlineStr"/>
      <c r="AE130" s="16" t="inlineStr"/>
      <c r="AF130" s="16" t="inlineStr">
        <is>
          <t>1.0.0</t>
        </is>
      </c>
      <c r="AG130" s="16" t="inlineStr">
        <is>
          <t>ZUBoard 1CG / Basys 3</t>
        </is>
      </c>
      <c r="AH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is>
          <t>Reset</t>
        </is>
      </c>
      <c r="O131" s="16" t="inlineStr">
        <is>
          <t>ALL</t>
        </is>
      </c>
      <c r="P131" s="16" t="inlineStr"/>
      <c r="Q131" s="16" t="inlineStr">
        <is>
          <t>vhdl/buffered_axi_lite_uart.vhd</t>
        </is>
      </c>
      <c r="R131" s="16" t="inlineStr">
        <is>
          <t>RTL</t>
        </is>
      </c>
      <c r="S131" s="16" t="inlineStr">
        <is>
          <t>PASS</t>
        </is>
      </c>
      <c r="T131" s="16" t="inlineStr">
        <is>
          <t>2026-04-16</t>
        </is>
      </c>
      <c r="U131" s="16" t="inlineStr">
        <is>
          <t>39c48ee</t>
        </is>
      </c>
      <c r="V131" s="16" t="inlineStr">
        <is>
          <t>ip/buffered_axi_lite_uart/tb/scripts/vivado/xsim.log</t>
        </is>
      </c>
      <c r="W131" s="16" t="inlineStr">
        <is>
          <t>NOT_RUN</t>
        </is>
      </c>
      <c r="X131" s="16" t="inlineStr"/>
      <c r="AA131" s="16" t="inlineStr"/>
      <c r="AB131" s="17">
        <f>IF(K131="WAIVED","WAIVED",IF(H131="","OPEN",IF(S131="BLOCKED","BLOCKED",IF(S131="FAIL","FAILING",IF(S131="PASS",IF(AA131&lt;&gt;"","AT_RISK",IF(AC131&lt;&gt;"","CLOSED","PASSING")),"COVERED")))))</f>
        <v/>
      </c>
      <c r="AC131" s="16" t="inlineStr"/>
      <c r="AD131" s="16" t="inlineStr"/>
      <c r="AE131" s="16" t="inlineStr"/>
      <c r="AF131" s="16" t="inlineStr">
        <is>
          <t>1.0.0</t>
        </is>
      </c>
      <c r="AG131" s="16" t="inlineStr">
        <is>
          <t>ZUBoard 1CG / Basys 3</t>
        </is>
      </c>
      <c r="AH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is>
          <t>Reset</t>
        </is>
      </c>
      <c r="O132" s="16" t="inlineStr">
        <is>
          <t>ALL</t>
        </is>
      </c>
      <c r="P132" s="16" t="inlineStr"/>
      <c r="Q132" s="16" t="inlineStr">
        <is>
          <t>vhdl/buffered_axi_lite_uart.vhd</t>
        </is>
      </c>
      <c r="R132" s="16" t="inlineStr">
        <is>
          <t>RTL</t>
        </is>
      </c>
      <c r="S132" s="16" t="inlineStr">
        <is>
          <t>PASS</t>
        </is>
      </c>
      <c r="T132" s="16" t="inlineStr">
        <is>
          <t>2026-04-16</t>
        </is>
      </c>
      <c r="U132" s="16" t="inlineStr">
        <is>
          <t>39c48ee</t>
        </is>
      </c>
      <c r="V132" s="16" t="inlineStr">
        <is>
          <t>ip/buffered_axi_lite_uart/tb/scripts/vivado/xsim.log</t>
        </is>
      </c>
      <c r="W132" s="16" t="inlineStr">
        <is>
          <t>NOT_RUN</t>
        </is>
      </c>
      <c r="X132" s="16" t="inlineStr"/>
      <c r="AA132" s="16" t="inlineStr"/>
      <c r="AB132" s="17">
        <f>IF(K132="WAIVED","WAIVED",IF(H132="","OPEN",IF(S132="BLOCKED","BLOCKED",IF(S132="FAIL","FAILING",IF(S132="PASS",IF(AA132&lt;&gt;"","AT_RISK",IF(AC132&lt;&gt;"","CLOSED","PASSING")),"COVERED")))))</f>
        <v/>
      </c>
      <c r="AC132" s="16" t="inlineStr"/>
      <c r="AD132" s="16" t="inlineStr"/>
      <c r="AE132" s="16" t="inlineStr"/>
      <c r="AF132" s="16" t="inlineStr">
        <is>
          <t>1.0.0</t>
        </is>
      </c>
      <c r="AG132" s="16" t="inlineStr">
        <is>
          <t>ZUBoard 1CG / Basys 3</t>
        </is>
      </c>
      <c r="AH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is>
          <t>Reset</t>
        </is>
      </c>
      <c r="O133" s="16" t="inlineStr">
        <is>
          <t>ALL</t>
        </is>
      </c>
      <c r="P133" s="16" t="inlineStr"/>
      <c r="Q133" s="16" t="inlineStr">
        <is>
          <t>vhdl/buffered_axi_lite_uart.vhd</t>
        </is>
      </c>
      <c r="R133" s="16" t="inlineStr">
        <is>
          <t>RTL</t>
        </is>
      </c>
      <c r="S133" s="16" t="inlineStr">
        <is>
          <t>PASS</t>
        </is>
      </c>
      <c r="T133" s="16" t="inlineStr">
        <is>
          <t>2026-04-16</t>
        </is>
      </c>
      <c r="U133" s="16" t="inlineStr">
        <is>
          <t>39c48ee</t>
        </is>
      </c>
      <c r="V133" s="16" t="inlineStr">
        <is>
          <t>ip/buffered_axi_lite_uart/tb/scripts/vivado/xsim.log</t>
        </is>
      </c>
      <c r="W133" s="16" t="inlineStr">
        <is>
          <t>NOT_RUN</t>
        </is>
      </c>
      <c r="X133" s="16" t="inlineStr"/>
      <c r="AA133" s="16" t="inlineStr"/>
      <c r="AB133" s="17">
        <f>IF(K133="WAIVED","WAIVED",IF(H133="","OPEN",IF(S133="BLOCKED","BLOCKED",IF(S133="FAIL","FAILING",IF(S133="PASS",IF(AA133&lt;&gt;"","AT_RISK",IF(AC133&lt;&gt;"","CLOSED","PASSING")),"COVERED")))))</f>
        <v/>
      </c>
      <c r="AC133" s="16" t="inlineStr"/>
      <c r="AD133" s="16" t="inlineStr"/>
      <c r="AE133" s="16" t="inlineStr"/>
      <c r="AF133" s="16" t="inlineStr">
        <is>
          <t>1.0.0</t>
        </is>
      </c>
      <c r="AG133" s="16" t="inlineStr">
        <is>
          <t>ZUBoard 1CG / Basys 3</t>
        </is>
      </c>
      <c r="AH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is>
          <t>Reset</t>
        </is>
      </c>
      <c r="O134" s="16" t="inlineStr">
        <is>
          <t>ALL</t>
        </is>
      </c>
      <c r="P134" s="16" t="inlineStr"/>
      <c r="Q134" s="16" t="inlineStr">
        <is>
          <t>vhdl/buffered_axi_lite_uart.vhd</t>
        </is>
      </c>
      <c r="R134" s="16" t="inlineStr">
        <is>
          <t>RTL</t>
        </is>
      </c>
      <c r="S134" s="16" t="inlineStr">
        <is>
          <t>PASS</t>
        </is>
      </c>
      <c r="T134" s="16" t="inlineStr">
        <is>
          <t>2026-04-16</t>
        </is>
      </c>
      <c r="U134" s="16" t="inlineStr">
        <is>
          <t>39c48ee</t>
        </is>
      </c>
      <c r="V134" s="16" t="inlineStr">
        <is>
          <t>ip/buffered_axi_lite_uart/tb/scripts/vivado/xsim.log</t>
        </is>
      </c>
      <c r="W134" s="16" t="inlineStr">
        <is>
          <t>NOT_RUN</t>
        </is>
      </c>
      <c r="X134" s="16" t="inlineStr"/>
      <c r="AA134" s="16" t="inlineStr"/>
      <c r="AB134" s="17">
        <f>IF(K134="WAIVED","WAIVED",IF(H134="","OPEN",IF(S134="BLOCKED","BLOCKED",IF(S134="FAIL","FAILING",IF(S134="PASS",IF(AA134&lt;&gt;"","AT_RISK",IF(AC134&lt;&gt;"","CLOSED","PASSING")),"COVERED")))))</f>
        <v/>
      </c>
      <c r="AC134" s="16" t="inlineStr"/>
      <c r="AD134" s="16" t="inlineStr"/>
      <c r="AE134" s="16" t="inlineStr"/>
      <c r="AF134" s="16" t="inlineStr">
        <is>
          <t>1.0.0</t>
        </is>
      </c>
      <c r="AG134" s="16" t="inlineStr">
        <is>
          <t>ZUBoard 1CG / Basys 3</t>
        </is>
      </c>
      <c r="AH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is>
          <t>Infrastructure</t>
        </is>
      </c>
      <c r="O135" s="16" t="inlineStr">
        <is>
          <t>ALL</t>
        </is>
      </c>
      <c r="P135" s="16" t="inlineStr"/>
      <c r="Q135" s="16" t="inlineStr">
        <is>
          <t>vhdl/buffered_axi_lite_uart.vhd</t>
        </is>
      </c>
      <c r="R135" s="16" t="inlineStr">
        <is>
          <t>RTL</t>
        </is>
      </c>
      <c r="S135" s="16" t="inlineStr">
        <is>
          <t>NOT_RUN</t>
        </is>
      </c>
      <c r="T135" s="16" t="inlineStr"/>
      <c r="U135" s="16" t="inlineStr"/>
      <c r="V135" s="16" t="inlineStr"/>
      <c r="W135" s="16" t="inlineStr">
        <is>
          <t>NOT_RUN</t>
        </is>
      </c>
      <c r="X135" s="16" t="inlineStr"/>
      <c r="AA135" s="16" t="inlineStr"/>
      <c r="AB135" s="17">
        <f>IF(K135="WAIVED","WAIVED",IF(H135="","OPEN",IF(S135="BLOCKED","BLOCKED",IF(S135="FAIL","FAILING",IF(S135="PASS",IF(AA135&lt;&gt;"","AT_RISK",IF(AC135&lt;&gt;"","CLOSED","PASSING")),"COVERED")))))</f>
        <v/>
      </c>
      <c r="AC135" s="16" t="inlineStr"/>
      <c r="AD135" s="16" t="inlineStr"/>
      <c r="AE135" s="16" t="inlineStr"/>
      <c r="AF135" s="16" t="inlineStr">
        <is>
          <t>1.0.0</t>
        </is>
      </c>
      <c r="AG135" s="16" t="inlineStr">
        <is>
          <t>ZUBoard 1CG / Basys 3</t>
        </is>
      </c>
      <c r="AH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is>
          <t>Infrastructure</t>
        </is>
      </c>
      <c r="O136" s="16" t="inlineStr">
        <is>
          <t>ALL</t>
        </is>
      </c>
      <c r="P136" s="16" t="inlineStr"/>
      <c r="Q136" s="16" t="inlineStr">
        <is>
          <t>vhdl/buffered_axi_lite_uart.vhd</t>
        </is>
      </c>
      <c r="R136" s="16" t="inlineStr">
        <is>
          <t>RTL</t>
        </is>
      </c>
      <c r="S136" s="16" t="inlineStr">
        <is>
          <t>PASS</t>
        </is>
      </c>
      <c r="T136" s="16" t="inlineStr">
        <is>
          <t>2026-04-16</t>
        </is>
      </c>
      <c r="U136" s="16" t="inlineStr">
        <is>
          <t>39c48ee</t>
        </is>
      </c>
      <c r="V136" s="16" t="inlineStr">
        <is>
          <t>ip/buffered_axi_lite_uart/tb/scripts/vivado/xsim.log</t>
        </is>
      </c>
      <c r="W136" s="16" t="inlineStr">
        <is>
          <t>NOT_RUN</t>
        </is>
      </c>
      <c r="X136" s="16" t="inlineStr"/>
      <c r="AA136" s="16" t="inlineStr"/>
      <c r="AB136" s="17">
        <f>IF(K136="WAIVED","WAIVED",IF(H136="","OPEN",IF(S136="BLOCKED","BLOCKED",IF(S136="FAIL","FAILING",IF(S136="PASS",IF(AA136&lt;&gt;"","AT_RISK",IF(AC136&lt;&gt;"","CLOSED","PASSING")),"COVERED")))))</f>
        <v/>
      </c>
      <c r="AC136" s="16" t="inlineStr"/>
      <c r="AD136" s="16" t="inlineStr"/>
      <c r="AE136" s="16" t="inlineStr"/>
      <c r="AF136" s="16" t="inlineStr">
        <is>
          <t>1.0.0</t>
        </is>
      </c>
      <c r="AG136" s="16" t="inlineStr">
        <is>
          <t>ZUBoard 1CG / Basys 3</t>
        </is>
      </c>
      <c r="AH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is>
          <t>Infrastructure</t>
        </is>
      </c>
      <c r="O137" s="16" t="inlineStr">
        <is>
          <t>ALL</t>
        </is>
      </c>
      <c r="P137" s="16" t="inlineStr"/>
      <c r="Q137" s="16" t="inlineStr">
        <is>
          <t>vhdl/buffered_axi_lite_uart.vhd</t>
        </is>
      </c>
      <c r="R137" s="16" t="inlineStr">
        <is>
          <t>RTL</t>
        </is>
      </c>
      <c r="S137" s="16" t="inlineStr">
        <is>
          <t>PASS</t>
        </is>
      </c>
      <c r="T137" s="16" t="inlineStr">
        <is>
          <t>2026-04-16</t>
        </is>
      </c>
      <c r="U137" s="16" t="inlineStr">
        <is>
          <t>39c48ee</t>
        </is>
      </c>
      <c r="V137" s="16" t="inlineStr">
        <is>
          <t>ip/buffered_axi_lite_uart/tb/scripts/vivado/xsim.log</t>
        </is>
      </c>
      <c r="W137" s="16" t="inlineStr">
        <is>
          <t>NOT_RUN</t>
        </is>
      </c>
      <c r="X137" s="16" t="inlineStr"/>
      <c r="AA137" s="16" t="inlineStr"/>
      <c r="AB137" s="17">
        <f>IF(K137="WAIVED","WAIVED",IF(H137="","OPEN",IF(S137="BLOCKED","BLOCKED",IF(S137="FAIL","FAILING",IF(S137="PASS",IF(AA137&lt;&gt;"","AT_RISK",IF(AC137&lt;&gt;"","CLOSED","PASSING")),"COVERED")))))</f>
        <v/>
      </c>
      <c r="AC137" s="16" t="inlineStr"/>
      <c r="AD137" s="16" t="inlineStr"/>
      <c r="AE137" s="16" t="inlineStr"/>
      <c r="AF137" s="16" t="inlineStr">
        <is>
          <t>1.0.0</t>
        </is>
      </c>
      <c r="AG137" s="16" t="inlineStr">
        <is>
          <t>ZUBoard 1CG / Basys 3</t>
        </is>
      </c>
      <c r="AH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is>
          <t>Infrastructure</t>
        </is>
      </c>
      <c r="O138" s="16" t="inlineStr">
        <is>
          <t>ALL</t>
        </is>
      </c>
      <c r="P138" s="16" t="inlineStr"/>
      <c r="Q138" s="16" t="inlineStr">
        <is>
          <t>vhdl/buffered_axi_lite_uart.vhd</t>
        </is>
      </c>
      <c r="R138" s="16" t="inlineStr">
        <is>
          <t>RTL</t>
        </is>
      </c>
      <c r="S138" s="16" t="inlineStr">
        <is>
          <t>PASS</t>
        </is>
      </c>
      <c r="T138" s="16" t="inlineStr">
        <is>
          <t>2026-04-16</t>
        </is>
      </c>
      <c r="U138" s="16" t="inlineStr">
        <is>
          <t>39c48ee</t>
        </is>
      </c>
      <c r="V138" s="16" t="inlineStr">
        <is>
          <t>ip/buffered_axi_lite_uart/tb/scripts/vivado/xsim.log</t>
        </is>
      </c>
      <c r="W138" s="16" t="inlineStr">
        <is>
          <t>NOT_RUN</t>
        </is>
      </c>
      <c r="X138" s="16" t="inlineStr"/>
      <c r="AA138" s="16" t="inlineStr"/>
      <c r="AB138" s="17">
        <f>IF(K138="WAIVED","WAIVED",IF(H138="","OPEN",IF(S138="BLOCKED","BLOCKED",IF(S138="FAIL","FAILING",IF(S138="PASS",IF(AA138&lt;&gt;"","AT_RISK",IF(AC138&lt;&gt;"","CLOSED","PASSING")),"COVERED")))))</f>
        <v/>
      </c>
      <c r="AC138" s="16" t="inlineStr"/>
      <c r="AD138" s="16" t="inlineStr"/>
      <c r="AE138" s="16" t="inlineStr"/>
      <c r="AF138" s="16" t="inlineStr">
        <is>
          <t>1.0.0</t>
        </is>
      </c>
      <c r="AG138" s="16" t="inlineStr">
        <is>
          <t>ZUBoard 1CG / Basys 3</t>
        </is>
      </c>
      <c r="AH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is>
          <t>Infrastructure</t>
        </is>
      </c>
      <c r="O139" s="16" t="inlineStr">
        <is>
          <t>ALL</t>
        </is>
      </c>
      <c r="P139" s="16" t="inlineStr"/>
      <c r="Q139" s="16" t="inlineStr">
        <is>
          <t>vhdl/buffered_axi_lite_uart.vhd</t>
        </is>
      </c>
      <c r="R139" s="16" t="inlineStr">
        <is>
          <t>RTL</t>
        </is>
      </c>
      <c r="S139" s="16" t="inlineStr">
        <is>
          <t>PASS</t>
        </is>
      </c>
      <c r="T139" s="16" t="inlineStr">
        <is>
          <t>2026-04-16</t>
        </is>
      </c>
      <c r="U139" s="16" t="inlineStr">
        <is>
          <t>39c48ee</t>
        </is>
      </c>
      <c r="V139" s="16" t="inlineStr">
        <is>
          <t>ip/buffered_axi_lite_uart/tb/scripts/vivado/xsim.log</t>
        </is>
      </c>
      <c r="W139" s="16" t="inlineStr">
        <is>
          <t>NOT_RUN</t>
        </is>
      </c>
      <c r="X139" s="16" t="inlineStr"/>
      <c r="AA139" s="16" t="inlineStr"/>
      <c r="AB139" s="17">
        <f>IF(K139="WAIVED","WAIVED",IF(H139="","OPEN",IF(S139="BLOCKED","BLOCKED",IF(S139="FAIL","FAILING",IF(S139="PASS",IF(AA139&lt;&gt;"","AT_RISK",IF(AC139&lt;&gt;"","CLOSED","PASSING")),"COVERED")))))</f>
        <v/>
      </c>
      <c r="AC139" s="16" t="inlineStr"/>
      <c r="AD139" s="16" t="inlineStr"/>
      <c r="AE139" s="16" t="inlineStr"/>
      <c r="AF139" s="16" t="inlineStr">
        <is>
          <t>1.0.0</t>
        </is>
      </c>
      <c r="AG139" s="16" t="inlineStr">
        <is>
          <t>ZUBoard 1CG / Basys 3</t>
        </is>
      </c>
      <c r="AH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is>
          <t>Infrastructure</t>
        </is>
      </c>
      <c r="O140" s="16" t="inlineStr">
        <is>
          <t>ALL</t>
        </is>
      </c>
      <c r="P140" s="16" t="inlineStr"/>
      <c r="Q140" s="16" t="inlineStr">
        <is>
          <t>vhdl/buffered_axi_lite_uart.vhd</t>
        </is>
      </c>
      <c r="R140" s="16" t="inlineStr">
        <is>
          <t>RTL</t>
        </is>
      </c>
      <c r="S140" s="16" t="inlineStr">
        <is>
          <t>PASS</t>
        </is>
      </c>
      <c r="T140" s="16" t="inlineStr">
        <is>
          <t>2026-04-16</t>
        </is>
      </c>
      <c r="U140" s="16" t="inlineStr">
        <is>
          <t>39c48ee</t>
        </is>
      </c>
      <c r="V140" s="16" t="inlineStr">
        <is>
          <t>ip/buffered_axi_lite_uart/tb/scripts/vivado/xsim.log</t>
        </is>
      </c>
      <c r="W140" s="16" t="inlineStr">
        <is>
          <t>NOT_RUN</t>
        </is>
      </c>
      <c r="X140" s="16" t="inlineStr"/>
      <c r="AA140" s="16" t="inlineStr"/>
      <c r="AB140" s="17">
        <f>IF(K140="WAIVED","WAIVED",IF(H140="","OPEN",IF(S140="BLOCKED","BLOCKED",IF(S140="FAIL","FAILING",IF(S140="PASS",IF(AA140&lt;&gt;"","AT_RISK",IF(AC140&lt;&gt;"","CLOSED","PASSING")),"COVERED")))))</f>
        <v/>
      </c>
      <c r="AC140" s="16" t="inlineStr"/>
      <c r="AD140" s="16" t="inlineStr"/>
      <c r="AE140" s="16" t="inlineStr"/>
      <c r="AF140" s="16" t="inlineStr">
        <is>
          <t>1.0.0</t>
        </is>
      </c>
      <c r="AG140" s="16" t="inlineStr">
        <is>
          <t>ZUBoard 1CG / Basys 3</t>
        </is>
      </c>
      <c r="AH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is>
          <t>Infrastructure</t>
        </is>
      </c>
      <c r="O141" s="16" t="inlineStr">
        <is>
          <t>ALL</t>
        </is>
      </c>
      <c r="P141" s="16" t="inlineStr"/>
      <c r="Q141" s="16" t="inlineStr">
        <is>
          <t>vhdl/buffered_axi_lite_uart.vhd</t>
        </is>
      </c>
      <c r="R141" s="16" t="inlineStr">
        <is>
          <t>RTL</t>
        </is>
      </c>
      <c r="S141" s="16" t="inlineStr">
        <is>
          <t>PASS</t>
        </is>
      </c>
      <c r="T141" s="16" t="inlineStr">
        <is>
          <t>2026-04-16</t>
        </is>
      </c>
      <c r="U141" s="16" t="inlineStr">
        <is>
          <t>39c48ee</t>
        </is>
      </c>
      <c r="V141" s="16" t="inlineStr">
        <is>
          <t>ip/buffered_axi_lite_uart/tb/scripts/vivado/xsim.log</t>
        </is>
      </c>
      <c r="W141" s="16" t="inlineStr">
        <is>
          <t>NOT_RUN</t>
        </is>
      </c>
      <c r="X141" s="16" t="inlineStr"/>
      <c r="AA141" s="16" t="inlineStr"/>
      <c r="AB141" s="17">
        <f>IF(K141="WAIVED","WAIVED",IF(H141="","OPEN",IF(S141="BLOCKED","BLOCKED",IF(S141="FAIL","FAILING",IF(S141="PASS",IF(AA141&lt;&gt;"","AT_RISK",IF(AC141&lt;&gt;"","CLOSED","PASSING")),"COVERED")))))</f>
        <v/>
      </c>
      <c r="AC141" s="16" t="inlineStr"/>
      <c r="AD141" s="16" t="inlineStr"/>
      <c r="AE141" s="16" t="inlineStr"/>
      <c r="AF141" s="16" t="inlineStr">
        <is>
          <t>1.0.0</t>
        </is>
      </c>
      <c r="AG141" s="16" t="inlineStr">
        <is>
          <t>ZUBoard 1CG / Basys 3</t>
        </is>
      </c>
      <c r="AH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is>
          <t>Infrastructure</t>
        </is>
      </c>
      <c r="O142" s="16" t="inlineStr">
        <is>
          <t>ALL</t>
        </is>
      </c>
      <c r="P142" s="16" t="inlineStr"/>
      <c r="Q142" s="16" t="inlineStr">
        <is>
          <t>vhdl/buffered_axi_lite_uart.vhd</t>
        </is>
      </c>
      <c r="R142" s="16" t="inlineStr">
        <is>
          <t>RTL</t>
        </is>
      </c>
      <c r="S142" s="16" t="inlineStr">
        <is>
          <t>PASS</t>
        </is>
      </c>
      <c r="T142" s="16" t="inlineStr">
        <is>
          <t>2026-04-16</t>
        </is>
      </c>
      <c r="U142" s="16" t="inlineStr">
        <is>
          <t>39c48ee</t>
        </is>
      </c>
      <c r="V142" s="16" t="inlineStr">
        <is>
          <t>ip/buffered_axi_lite_uart/tb/scripts/vivado/xsim.log</t>
        </is>
      </c>
      <c r="W142" s="16" t="inlineStr">
        <is>
          <t>NOT_RUN</t>
        </is>
      </c>
      <c r="X142" s="16" t="inlineStr"/>
      <c r="AA142" s="16" t="inlineStr"/>
      <c r="AB142" s="17">
        <f>IF(K142="WAIVED","WAIVED",IF(H142="","OPEN",IF(S142="BLOCKED","BLOCKED",IF(S142="FAIL","FAILING",IF(S142="PASS",IF(AA142&lt;&gt;"","AT_RISK",IF(AC142&lt;&gt;"","CLOSED","PASSING")),"COVERED")))))</f>
        <v/>
      </c>
      <c r="AC142" s="16" t="inlineStr"/>
      <c r="AD142" s="16" t="inlineStr"/>
      <c r="AE142" s="16" t="inlineStr"/>
      <c r="AF142" s="16" t="inlineStr">
        <is>
          <t>1.0.0</t>
        </is>
      </c>
      <c r="AG142" s="16" t="inlineStr">
        <is>
          <t>ZUBoard 1CG / Basys 3</t>
        </is>
      </c>
      <c r="AH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is>
          <t>Infrastructure</t>
        </is>
      </c>
      <c r="O143" s="16" t="inlineStr">
        <is>
          <t>ALL</t>
        </is>
      </c>
      <c r="P143" s="16" t="inlineStr"/>
      <c r="Q143" s="16" t="inlineStr">
        <is>
          <t>vhdl/buffered_axi_lite_uart.vhd</t>
        </is>
      </c>
      <c r="R143" s="16" t="inlineStr">
        <is>
          <t>RTL</t>
        </is>
      </c>
      <c r="S143" s="16" t="inlineStr">
        <is>
          <t>PASS</t>
        </is>
      </c>
      <c r="T143" s="16" t="inlineStr">
        <is>
          <t>2026-04-16</t>
        </is>
      </c>
      <c r="U143" s="16" t="inlineStr">
        <is>
          <t>39c48ee</t>
        </is>
      </c>
      <c r="V143" s="16" t="inlineStr">
        <is>
          <t>ip/buffered_axi_lite_uart/tb/scripts/vivado/xsim.log</t>
        </is>
      </c>
      <c r="W143" s="16" t="inlineStr">
        <is>
          <t>NOT_RUN</t>
        </is>
      </c>
      <c r="X143" s="16" t="inlineStr"/>
      <c r="AA143" s="16" t="inlineStr"/>
      <c r="AB143" s="17">
        <f>IF(K143="WAIVED","WAIVED",IF(H143="","OPEN",IF(S143="BLOCKED","BLOCKED",IF(S143="FAIL","FAILING",IF(S143="PASS",IF(AA143&lt;&gt;"","AT_RISK",IF(AC143&lt;&gt;"","CLOSED","PASSING")),"COVERED")))))</f>
        <v/>
      </c>
      <c r="AC143" s="16" t="inlineStr"/>
      <c r="AD143" s="16" t="inlineStr"/>
      <c r="AE143" s="16" t="inlineStr"/>
      <c r="AF143" s="16" t="inlineStr">
        <is>
          <t>1.0.0</t>
        </is>
      </c>
      <c r="AG143" s="16" t="inlineStr">
        <is>
          <t>ZUBoard 1CG / Basys 3</t>
        </is>
      </c>
      <c r="AH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is>
          <t>Infrastructure</t>
        </is>
      </c>
      <c r="O144" s="16" t="inlineStr">
        <is>
          <t>ALL</t>
        </is>
      </c>
      <c r="P144" s="16" t="inlineStr"/>
      <c r="Q144" s="16" t="inlineStr">
        <is>
          <t>vhdl/buffered_axi_lite_uart.vhd</t>
        </is>
      </c>
      <c r="R144" s="16" t="inlineStr">
        <is>
          <t>RTL</t>
        </is>
      </c>
      <c r="S144" s="16" t="inlineStr">
        <is>
          <t>PASS</t>
        </is>
      </c>
      <c r="T144" s="16" t="inlineStr">
        <is>
          <t>2026-04-16</t>
        </is>
      </c>
      <c r="U144" s="16" t="inlineStr">
        <is>
          <t>39c48ee</t>
        </is>
      </c>
      <c r="V144" s="16" t="inlineStr">
        <is>
          <t>ip/buffered_axi_lite_uart/tb/scripts/vivado/xsim.log</t>
        </is>
      </c>
      <c r="W144" s="16" t="inlineStr">
        <is>
          <t>NOT_RUN</t>
        </is>
      </c>
      <c r="X144" s="16" t="inlineStr"/>
      <c r="AA144" s="16" t="inlineStr"/>
      <c r="AB144" s="17">
        <f>IF(K144="WAIVED","WAIVED",IF(H144="","OPEN",IF(S144="BLOCKED","BLOCKED",IF(S144="FAIL","FAILING",IF(S144="PASS",IF(AA144&lt;&gt;"","AT_RISK",IF(AC144&lt;&gt;"","CLOSED","PASSING")),"COVERED")))))</f>
        <v/>
      </c>
      <c r="AC144" s="16" t="inlineStr"/>
      <c r="AD144" s="16" t="inlineStr"/>
      <c r="AE144" s="16" t="inlineStr"/>
      <c r="AF144" s="16" t="inlineStr">
        <is>
          <t>1.0.0</t>
        </is>
      </c>
      <c r="AG144" s="16" t="inlineStr">
        <is>
          <t>ZUBoard 1CG / Basys 3</t>
        </is>
      </c>
      <c r="AH144" s="16" t="inlineStr">
        <is>
          <t>BALU-RS-001 Rev 0.4</t>
        </is>
      </c>
    </row>
  </sheetData>
  <mergeCells count="6">
    <mergeCell ref="AF1:AH1"/>
    <mergeCell ref="P1:R1"/>
    <mergeCell ref="G1:O1"/>
    <mergeCell ref="A1:F1"/>
    <mergeCell ref="S1:AA1"/>
    <mergeCell ref="AB1:AE1"/>
  </mergeCells>
  <conditionalFormatting sqref="A4:AH2000">
    <cfRule type="expression" priority="1" dxfId="4" stopIfTrue="0">
      <formula>$AB4="CLOSED"</formula>
    </cfRule>
    <cfRule type="expression" priority="2" dxfId="5" stopIfTrue="0">
      <formula>$AB4="PASSING"</formula>
    </cfRule>
    <cfRule type="expression" priority="3" dxfId="6" stopIfTrue="0">
      <formula>$AB4="AT_RISK"</formula>
    </cfRule>
    <cfRule type="expression" priority="4" dxfId="7" stopIfTrue="0">
      <formula>$AB4="FAILING"</formula>
    </cfRule>
    <cfRule type="expression" priority="5" dxfId="8" stopIfTrue="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I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18" customWidth="1" min="8" max="8"/>
  </cols>
  <sheetData>
    <row r="1" ht="18" customHeight="1"/>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32" t="inlineStr">
        <is>
          <t>Coverage_Type</t>
        </is>
      </c>
      <c r="I2" s="7" t="inlineStr">
        <is>
          <t>Notes</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PLANNED</t>
        </is>
      </c>
      <c r="H3" s="16" t="inlineStr">
        <is>
          <t>Functional</t>
        </is>
      </c>
      <c r="I3" s="16" t="inlineStr"/>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PLANNED</t>
        </is>
      </c>
      <c r="H4" s="16" t="inlineStr">
        <is>
          <t>Functional</t>
        </is>
      </c>
      <c r="I4" s="16" t="inlineStr"/>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PLANNED</t>
        </is>
      </c>
      <c r="H5" s="16" t="inlineStr">
        <is>
          <t>Functional</t>
        </is>
      </c>
      <c r="I5" s="16" t="inlineStr"/>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PLANNED</t>
        </is>
      </c>
      <c r="H6" s="16" t="inlineStr">
        <is>
          <t>Functional</t>
        </is>
      </c>
      <c r="I6" s="16" t="inlineStr"/>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PLANNED</t>
        </is>
      </c>
      <c r="H7" s="16" t="inlineStr">
        <is>
          <t>Functional</t>
        </is>
      </c>
      <c r="I7" s="16" t="inlineStr"/>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PLANNED</t>
        </is>
      </c>
      <c r="H8" s="16" t="inlineStr">
        <is>
          <t>Functional</t>
        </is>
      </c>
      <c r="I8" s="16" t="inlineStr"/>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PLANNED</t>
        </is>
      </c>
      <c r="H9" s="16" t="inlineStr">
        <is>
          <t>Functional</t>
        </is>
      </c>
      <c r="I9" s="16" t="inlineStr"/>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PLANNED</t>
        </is>
      </c>
      <c r="H10" s="16" t="inlineStr">
        <is>
          <t>Functional</t>
        </is>
      </c>
      <c r="I10" s="16" t="inlineStr"/>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PLANNED</t>
        </is>
      </c>
      <c r="H11" s="16" t="inlineStr">
        <is>
          <t>Functional</t>
        </is>
      </c>
      <c r="I11" s="16" t="inlineStr"/>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PLANNED</t>
        </is>
      </c>
      <c r="H12" s="16" t="inlineStr">
        <is>
          <t>Functional</t>
        </is>
      </c>
      <c r="I12" s="16" t="inlineStr"/>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PLANNED</t>
        </is>
      </c>
      <c r="H13" s="16" t="inlineStr">
        <is>
          <t>Functional</t>
        </is>
      </c>
      <c r="I13" s="16" t="inlineStr"/>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PLANNED</t>
        </is>
      </c>
      <c r="H14" s="16" t="inlineStr">
        <is>
          <t>Functional</t>
        </is>
      </c>
      <c r="I14" s="16" t="inlineStr"/>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PLANNED</t>
        </is>
      </c>
      <c r="H15" s="16" t="inlineStr">
        <is>
          <t>Functional</t>
        </is>
      </c>
      <c r="I15" s="16" t="inlineStr">
        <is>
          <t>Gap demo item — intentionally absent from initial .req cross-references</t>
        </is>
      </c>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PLANNED</t>
        </is>
      </c>
      <c r="H16" s="16" t="inlineStr">
        <is>
          <t>Functional</t>
        </is>
      </c>
      <c r="I16" s="16" t="inlineStr">
        <is>
          <t>First test in all sequences per NOTE-006</t>
        </is>
      </c>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PLANNED</t>
        </is>
      </c>
      <c r="H17" s="16" t="inlineStr">
        <is>
          <t>Functional</t>
        </is>
      </c>
      <c r="I17" s="16" t="inlineStr"/>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PLANNED</t>
        </is>
      </c>
      <c r="H18" s="16" t="inlineStr">
        <is>
          <t>Functional</t>
        </is>
      </c>
      <c r="I18" s="16" t="inlineStr"/>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PLANNED</t>
        </is>
      </c>
      <c r="H19" s="16" t="inlineStr">
        <is>
          <t>Structural</t>
        </is>
      </c>
      <c r="I19" s="16" t="inlineStr"/>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PLANNED</t>
        </is>
      </c>
      <c r="H20" s="16" t="inlineStr">
        <is>
          <t>Structural</t>
        </is>
      </c>
      <c r="I20" s="16" t="inlineStr"/>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PLANNED</t>
        </is>
      </c>
      <c r="H21" s="16" t="inlineStr">
        <is>
          <t>Functional</t>
        </is>
      </c>
      <c r="I21" s="16" t="inlineStr"/>
    </row>
  </sheetData>
  <mergeCells count="1">
    <mergeCell ref="A1:I1"/>
  </mergeCells>
  <dataValidations count="2">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c r="A10" s="35" t="inlineStr">
        <is>
          <t>NOTE-008</t>
        </is>
      </c>
      <c r="B10" s="35" t="inlineStr">
        <is>
          <t>Regression Execution Order</t>
        </is>
      </c>
      <c r="C10" s="35"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35"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14"/>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COUNTIFS(VPR!B4:B144,"PAR",VPR!AB4:X144,"&lt;&gt;OPEN",VPR!AB4:X144,"&lt;&gt;WAIVED")</f>
        <v/>
      </c>
      <c r="D3" s="20">
        <f>COUNTIFS(VPR!B4:B144,"PAR",VPR!K4:K144,"WAIVED")</f>
        <v/>
      </c>
      <c r="E3" s="20">
        <f>B3-C3-D3</f>
        <v/>
      </c>
      <c r="F3" s="21">
        <f>IFERROR((C3+D3)/B3,0)</f>
        <v/>
      </c>
      <c r="G3" s="13" t="n"/>
      <c r="H3" s="13" t="n"/>
    </row>
    <row r="4">
      <c r="A4" s="22" t="inlineStr">
        <is>
          <t>IF</t>
        </is>
      </c>
      <c r="B4" s="22">
        <f>COUNTIF(VPR!B4:B144,"IF")</f>
        <v/>
      </c>
      <c r="C4" s="22">
        <f>COUNTIFS(VPR!B4:B144,"IF",VPR!AB4:X144,"&lt;&gt;OPEN",VPR!AB4:X144,"&lt;&gt;WAIVED")</f>
        <v/>
      </c>
      <c r="D4" s="22">
        <f>COUNTIFS(VPR!B4:B144,"IF",VPR!K4:K144,"WAIVED")</f>
        <v/>
      </c>
      <c r="E4" s="22">
        <f>B4-C4-D4</f>
        <v/>
      </c>
      <c r="F4" s="23">
        <f>IFERROR((C4+D4)/B4,0)</f>
        <v/>
      </c>
    </row>
    <row r="5">
      <c r="A5" s="22" t="inlineStr">
        <is>
          <t>EN</t>
        </is>
      </c>
      <c r="B5" s="22">
        <f>COUNTIF(VPR!B4:B144,"EN")</f>
        <v/>
      </c>
      <c r="C5" s="22">
        <f>COUNTIFS(VPR!B4:B144,"EN",VPR!AB4:X144,"&lt;&gt;OPEN",VPR!AB4:X144,"&lt;&gt;WAIVED")</f>
        <v/>
      </c>
      <c r="D5" s="22">
        <f>COUNTIFS(VPR!B4:B144,"EN",VPR!K4:K144,"WAIVED")</f>
        <v/>
      </c>
      <c r="E5" s="22">
        <f>B5-C5-D5</f>
        <v/>
      </c>
      <c r="F5" s="23">
        <f>IFERROR((C5+D5)/B5,0)</f>
        <v/>
      </c>
    </row>
    <row r="6">
      <c r="A6" s="22" t="inlineStr">
        <is>
          <t>BR</t>
        </is>
      </c>
      <c r="B6" s="22">
        <f>COUNTIF(VPR!B4:B144,"BR")</f>
        <v/>
      </c>
      <c r="C6" s="22">
        <f>COUNTIFS(VPR!B4:B144,"BR",VPR!AB4:X144,"&lt;&gt;OPEN",VPR!AB4:X144,"&lt;&gt;WAIVED")</f>
        <v/>
      </c>
      <c r="D6" s="22">
        <f>COUNTIFS(VPR!B4:B144,"BR",VPR!K4:K144,"WAIVED")</f>
        <v/>
      </c>
      <c r="E6" s="22">
        <f>B6-C6-D6</f>
        <v/>
      </c>
      <c r="F6" s="23">
        <f>IFERROR((C6+D6)/B6,0)</f>
        <v/>
      </c>
    </row>
    <row r="7">
      <c r="A7" s="22" t="inlineStr">
        <is>
          <t>FF</t>
        </is>
      </c>
      <c r="B7" s="22">
        <f>COUNTIF(VPR!B4:B144,"FF")</f>
        <v/>
      </c>
      <c r="C7" s="22">
        <f>COUNTIFS(VPR!B4:B144,"FF",VPR!AB4:X144,"&lt;&gt;OPEN",VPR!AB4:X144,"&lt;&gt;WAIVED")</f>
        <v/>
      </c>
      <c r="D7" s="22">
        <f>COUNTIFS(VPR!B4:B144,"FF",VPR!K4:K144,"WAIVED")</f>
        <v/>
      </c>
      <c r="E7" s="22">
        <f>B7-C7-D7</f>
        <v/>
      </c>
      <c r="F7" s="23">
        <f>IFERROR((C7+D7)/B7,0)</f>
        <v/>
      </c>
    </row>
    <row r="8">
      <c r="A8" s="22" t="inlineStr">
        <is>
          <t>FIFO</t>
        </is>
      </c>
      <c r="B8" s="22">
        <f>COUNTIF(VPR!B4:B144,"FIFO")</f>
        <v/>
      </c>
      <c r="C8" s="22">
        <f>COUNTIFS(VPR!B4:B144,"FIFO",VPR!AB4:X144,"&lt;&gt;OPEN",VPR!AB4:X144,"&lt;&gt;WAIVED")</f>
        <v/>
      </c>
      <c r="D8" s="22">
        <f>COUNTIFS(VPR!B4:B144,"FIFO",VPR!K4:K144,"WAIVED")</f>
        <v/>
      </c>
      <c r="E8" s="22">
        <f>B8-C8-D8</f>
        <v/>
      </c>
      <c r="F8" s="23">
        <f>IFERROR((C8+D8)/B8,0)</f>
        <v/>
      </c>
    </row>
    <row r="9">
      <c r="A9" s="22" t="inlineStr">
        <is>
          <t>TO</t>
        </is>
      </c>
      <c r="B9" s="22">
        <f>COUNTIF(VPR!B4:B144,"TO")</f>
        <v/>
      </c>
      <c r="C9" s="22">
        <f>COUNTIFS(VPR!B4:B144,"TO",VPR!AB4:X144,"&lt;&gt;OPEN",VPR!AB4:X144,"&lt;&gt;WAIVED")</f>
        <v/>
      </c>
      <c r="D9" s="22">
        <f>COUNTIFS(VPR!B4:B144,"TO",VPR!K4:K144,"WAIVED")</f>
        <v/>
      </c>
      <c r="E9" s="22">
        <f>B9-C9-D9</f>
        <v/>
      </c>
      <c r="F9" s="23">
        <f>IFERROR((C9+D9)/B9,0)</f>
        <v/>
      </c>
    </row>
    <row r="10">
      <c r="A10" s="22" t="inlineStr">
        <is>
          <t>INT</t>
        </is>
      </c>
      <c r="B10" s="22">
        <f>COUNTIF(VPR!B4:B144,"INT")</f>
        <v/>
      </c>
      <c r="C10" s="22">
        <f>COUNTIFS(VPR!B4:B144,"INT",VPR!AB4:X144,"&lt;&gt;OPEN",VPR!AB4:X144,"&lt;&gt;WAIVED")</f>
        <v/>
      </c>
      <c r="D10" s="22">
        <f>COUNTIFS(VPR!B4:B144,"INT",VPR!K4:K144,"WAIVED")</f>
        <v/>
      </c>
      <c r="E10" s="22">
        <f>B10-C10-D10</f>
        <v/>
      </c>
      <c r="F10" s="23">
        <f>IFERROR((C10+D10)/B10,0)</f>
        <v/>
      </c>
    </row>
    <row r="11">
      <c r="A11" s="22" t="inlineStr">
        <is>
          <t>REG</t>
        </is>
      </c>
      <c r="B11" s="22">
        <f>COUNTIF(VPR!B4:B144,"REG")</f>
        <v/>
      </c>
      <c r="C11" s="22">
        <f>COUNTIFS(VPR!B4:B144,"REG",VPR!AB4:X144,"&lt;&gt;OPEN",VPR!AB4:X144,"&lt;&gt;WAIVED")</f>
        <v/>
      </c>
      <c r="D11" s="22">
        <f>COUNTIFS(VPR!B4:B144,"REG",VPR!K4:K144,"WAIVED")</f>
        <v/>
      </c>
      <c r="E11" s="22">
        <f>B11-C11-D11</f>
        <v/>
      </c>
      <c r="F11" s="23">
        <f>IFERROR((C11+D11)/B11,0)</f>
        <v/>
      </c>
    </row>
    <row r="12">
      <c r="A12" s="22" t="inlineStr">
        <is>
          <t>RST</t>
        </is>
      </c>
      <c r="B12" s="22">
        <f>COUNTIF(VPR!B4:B144,"RST")</f>
        <v/>
      </c>
      <c r="C12" s="22">
        <f>COUNTIFS(VPR!B4:B144,"RST",VPR!AB4:X144,"&lt;&gt;OPEN",VPR!AB4:X144,"&lt;&gt;WAIVED")</f>
        <v/>
      </c>
      <c r="D12" s="22">
        <f>COUNTIFS(VPR!B4:B144,"RST",VPR!K4:K144,"WAIVED")</f>
        <v/>
      </c>
      <c r="E12" s="22">
        <f>B12-C12-D12</f>
        <v/>
      </c>
      <c r="F12" s="23">
        <f>IFERROR((C12+D12)/B12,0)</f>
        <v/>
      </c>
    </row>
    <row r="13">
      <c r="A13" s="22" t="inlineStr">
        <is>
          <t>VER</t>
        </is>
      </c>
      <c r="B13" s="22">
        <f>COUNTIF(VPR!B4:B144,"VER")</f>
        <v/>
      </c>
      <c r="C13" s="22">
        <f>COUNTIFS(VPR!B4:B144,"VER",VPR!AB4:X144,"&lt;&gt;OPEN",VPR!AB4:X144,"&lt;&gt;WAIVED")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 width="18" customWidth="1" min="11" max="11"/>
    <col width="18" customWidth="1" min="12" max="12"/>
  </cols>
  <sheetData>
    <row r="1" ht="18" customHeight="1"/>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c r="K2" s="32" t="inlineStr">
        <is>
          <t>Impact</t>
        </is>
      </c>
      <c r="L2" s="32"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2026-04-16T21:24:44Z</dcterms:modified>
</cp:coreProperties>
</file>