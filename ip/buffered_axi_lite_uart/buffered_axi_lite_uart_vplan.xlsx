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VPR" sheetId="1" state="visible" r:id="rId1"/>
    <sheet xmlns:r="http://schemas.openxmlformats.org/officeDocument/2006/relationships" name="Coverage_Goals" sheetId="2" state="visible" r:id="rId2"/>
    <sheet xmlns:r="http://schemas.openxmlformats.org/officeDocument/2006/relationships" name="Strategy_Notes" sheetId="3" state="visible" r:id="rId3"/>
    <sheet xmlns:r="http://schemas.openxmlformats.org/officeDocument/2006/relationships" name="Summary" sheetId="4" state="visible" r:id="rId4"/>
    <sheet xmlns:r="http://schemas.openxmlformats.org/officeDocument/2006/relationships" name="Anomalies" sheetId="5" state="visible" r:id="rId5"/>
  </sheets>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1F3864"/>
      <sz val="10"/>
    </font>
    <font>
      <name val="Arial"/>
      <b val="1"/>
      <color rgb="00FFFFFF"/>
      <sz val="10"/>
    </font>
    <font>
      <name val="Arial"/>
      <i val="1"/>
      <color rgb="00595959"/>
      <sz val="9"/>
    </font>
    <font>
      <name val="Arial"/>
      <b val="1"/>
      <color rgb="001F3864"/>
      <sz val="12"/>
    </font>
    <font>
      <name val="Arial"/>
      <b val="1"/>
      <color rgb="00FFFFFF"/>
      <sz val="12"/>
    </font>
    <font>
      <name val="Arial"/>
      <b val="1"/>
      <sz val="10"/>
    </font>
    <font>
      <name val="Arial"/>
      <sz val="10"/>
    </font>
    <font>
      <name val="Arial"/>
      <sz val="9"/>
    </font>
    <font>
      <name val="Arial"/>
      <b val="1"/>
      <sz val="9"/>
    </font>
  </fonts>
  <fills count="10">
    <fill>
      <patternFill/>
    </fill>
    <fill>
      <patternFill patternType="gray125"/>
    </fill>
    <fill>
      <patternFill patternType="solid">
        <fgColor rgb="00D9E1F2"/>
      </patternFill>
    </fill>
    <fill>
      <patternFill patternType="solid">
        <fgColor rgb="00E2EFDA"/>
      </patternFill>
    </fill>
    <fill>
      <patternFill patternType="solid">
        <fgColor rgb="00FFF2CC"/>
      </patternFill>
    </fill>
    <fill>
      <patternFill patternType="solid">
        <fgColor rgb="00FCE4D6"/>
      </patternFill>
    </fill>
    <fill>
      <patternFill patternType="solid">
        <fgColor rgb="00F2F2F2"/>
      </patternFill>
    </fill>
    <fill>
      <patternFill patternType="solid">
        <fgColor rgb="00EAD1DC"/>
      </patternFill>
    </fill>
    <fill>
      <patternFill patternType="solid">
        <fgColor rgb="001F3864"/>
      </patternFill>
    </fill>
    <fill>
      <patternFill patternType="solid">
        <fgColor rgb="00F9F9F9"/>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6">
    <xf numFmtId="0" fontId="0" fillId="0" borderId="0" pivotButton="0" quotePrefix="0" xfId="0"/>
    <xf numFmtId="0" fontId="1" fillId="2" borderId="0" applyAlignment="1" pivotButton="0" quotePrefix="0" xfId="0">
      <alignment horizontal="left" vertical="center"/>
    </xf>
    <xf numFmtId="0" fontId="1" fillId="3" borderId="0" applyAlignment="1" pivotButton="0" quotePrefix="0" xfId="0">
      <alignment horizontal="left" vertical="center"/>
    </xf>
    <xf numFmtId="0" fontId="1" fillId="4" borderId="0" applyAlignment="1" pivotButton="0" quotePrefix="0" xfId="0">
      <alignment horizontal="left" vertical="center"/>
    </xf>
    <xf numFmtId="0" fontId="1" fillId="5" borderId="0" applyAlignment="1" pivotButton="0" quotePrefix="0" xfId="0">
      <alignment horizontal="left" vertical="center"/>
    </xf>
    <xf numFmtId="0" fontId="1" fillId="6" borderId="0" applyAlignment="1" pivotButton="0" quotePrefix="0" xfId="0">
      <alignment horizontal="left" vertical="center"/>
    </xf>
    <xf numFmtId="0" fontId="1" fillId="7" borderId="0" applyAlignment="1" pivotButton="0" quotePrefix="0" xfId="0">
      <alignment horizontal="left" vertical="center"/>
    </xf>
    <xf numFmtId="0" fontId="2" fillId="8" borderId="1" applyAlignment="1" pivotButton="0" quotePrefix="0" xfId="0">
      <alignment horizontal="center" vertical="center" wrapText="1"/>
    </xf>
    <xf numFmtId="0" fontId="3" fillId="9" borderId="1" applyAlignment="1" pivotButton="0" quotePrefix="0" xfId="0">
      <alignment horizontal="center" vertical="center" wrapText="1"/>
    </xf>
    <xf numFmtId="0" fontId="3" fillId="9" borderId="1" applyAlignment="1" pivotButton="0" quotePrefix="0" xfId="0">
      <alignment horizontal="left" vertical="top" wrapText="1"/>
    </xf>
    <xf numFmtId="0" fontId="1" fillId="3" borderId="0" pivotButton="0" quotePrefix="0" xfId="0"/>
    <xf numFmtId="0" fontId="5" fillId="8" borderId="0" pivotButton="0" quotePrefix="0" xfId="0"/>
    <xf numFmtId="0" fontId="6" fillId="6" borderId="0" pivotButton="0" quotePrefix="0" xfId="0"/>
    <xf numFmtId="0" fontId="7" fillId="6" borderId="0" applyAlignment="1" pivotButton="0" quotePrefix="0" xfId="0">
      <alignment horizontal="center" vertical="center" wrapText="1"/>
    </xf>
    <xf numFmtId="0" fontId="3" fillId="0" borderId="0" pivotButton="0" quotePrefix="0" xfId="0"/>
    <xf numFmtId="0" fontId="1" fillId="5" borderId="0" pivotButton="0" quotePrefix="0" xfId="0"/>
    <xf numFmtId="0" fontId="8" fillId="0" borderId="0" applyAlignment="1" pivotButton="0" quotePrefix="0" xfId="0">
      <alignment horizontal="left" vertical="top" wrapText="1"/>
    </xf>
    <xf numFmtId="0" fontId="8" fillId="0" borderId="0" applyAlignment="1" pivotButton="0" quotePrefix="0" xfId="0">
      <alignment horizontal="center" vertical="top" wrapText="1"/>
    </xf>
    <xf numFmtId="0" fontId="9" fillId="8" borderId="1" applyAlignment="1" pivotButton="0" quotePrefix="0" xfId="0">
      <alignment horizontal="center" vertical="center" wrapText="1"/>
    </xf>
    <xf numFmtId="0" fontId="8" fillId="6" borderId="0" pivotButton="0" quotePrefix="0" xfId="0"/>
    <xf numFmtId="0" fontId="8" fillId="6" borderId="0" applyAlignment="1" pivotButton="0" quotePrefix="0" xfId="0">
      <alignment horizontal="center" vertical="center" wrapText="1"/>
    </xf>
    <xf numFmtId="9" fontId="8" fillId="6" borderId="0" applyAlignment="1" pivotButton="0" quotePrefix="0" xfId="0">
      <alignment horizontal="center" vertical="center" wrapText="1"/>
    </xf>
    <xf numFmtId="0" fontId="8" fillId="0" borderId="0" pivotButton="0" quotePrefix="0" xfId="0"/>
    <xf numFmtId="9" fontId="8" fillId="0" borderId="0" pivotButton="0" quotePrefix="0" xfId="0"/>
    <xf numFmtId="0" fontId="9" fillId="0" borderId="0" pivotButton="0" quotePrefix="0" xfId="0"/>
    <xf numFmtId="9" fontId="9" fillId="0" borderId="0" pivotButton="0" quotePrefix="0" xfId="0"/>
  </cellXfs>
  <cellStyles count="1">
    <cellStyle name="Normal" xfId="0" builtinId="0" hidden="0"/>
  </cellStyles>
  <dxfs count="4">
    <dxf>
      <font>
        <name val="Arial"/>
        <sz val="10"/>
      </font>
      <fill>
        <patternFill patternType="solid">
          <fgColor rgb="00C6EFCE"/>
        </patternFill>
      </fill>
    </dxf>
    <dxf>
      <font>
        <name val="Arial"/>
        <sz val="10"/>
      </font>
      <fill>
        <patternFill patternType="solid">
          <fgColor rgb="00FFEB9C"/>
        </patternFill>
      </fill>
    </dxf>
    <dxf>
      <font>
        <name val="Arial"/>
        <sz val="10"/>
      </font>
      <fill>
        <patternFill patternType="solid">
          <fgColor rgb="00FFC7CE"/>
        </patternFill>
      </fill>
    </dxf>
    <dxf>
      <font>
        <name val="Arial"/>
        <sz val="10"/>
      </font>
      <fill>
        <patternFill patternType="solid">
          <fgColor rgb="00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F3864"/>
    <outlinePr summaryBelow="1" summaryRight="1"/>
    <pageSetUpPr/>
  </sheetPr>
  <dimension ref="A1:AD144"/>
  <sheetViews>
    <sheetView showGridLines="1" workbookViewId="0">
      <pane xSplit="4" ySplit="2" topLeftCell="E3"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0" customWidth="1" min="2" max="2"/>
    <col width="16" customWidth="1" min="3" max="3"/>
    <col width="55" customWidth="1" min="4" max="4"/>
    <col width="18" customWidth="1" min="5" max="5"/>
    <col width="14" customWidth="1" min="6" max="6"/>
    <col width="18" customWidth="1" min="7" max="7"/>
    <col width="18" customWidth="1" min="8" max="8"/>
    <col width="30" customWidth="1" min="9" max="9"/>
    <col width="25" customWidth="1" min="10" max="10"/>
    <col width="14" customWidth="1" min="11" max="11"/>
    <col width="35" customWidth="1" min="12" max="12"/>
    <col width="14" customWidth="1" min="13" max="13"/>
    <col width="28" customWidth="1" min="14" max="14"/>
    <col width="28" customWidth="1" min="15" max="15"/>
    <col width="14" customWidth="1" min="16" max="16"/>
    <col width="12" customWidth="1" min="17" max="17"/>
    <col width="14" customWidth="1" min="18" max="18"/>
    <col width="12" customWidth="1" min="19" max="19"/>
    <col width="35" customWidth="1" min="20" max="20"/>
    <col width="12" customWidth="1" min="21" max="21"/>
    <col width="35" customWidth="1" min="22" max="22"/>
    <col width="14" customWidth="1" min="23" max="23"/>
    <col width="14" customWidth="1" min="24" max="24"/>
    <col width="18" customWidth="1" min="25" max="25"/>
    <col width="14" customWidth="1" min="26" max="26"/>
    <col width="35" customWidth="1" min="27" max="27"/>
    <col width="12" customWidth="1" min="28" max="28"/>
    <col width="20" customWidth="1" min="29" max="29"/>
    <col width="18" customWidth="1" min="30" max="30"/>
  </cols>
  <sheetData>
    <row r="1" ht="18" customHeight="1">
      <c r="A1" s="1" t="inlineStr">
        <is>
          <t>GROUP A — REQUIREMENT IDENTITY  (pssgen import — do not edit)</t>
        </is>
      </c>
      <c r="G1" s="2" t="inlineStr">
        <is>
          <t>GROUP B — VERIFICATION PLANNING  (engineer)</t>
        </is>
      </c>
      <c r="N1" s="3" t="inlineStr">
        <is>
          <t>GROUP C — IMPLEMENTATION  (engineer)</t>
        </is>
      </c>
      <c r="Q1" s="4" t="inlineStr">
        <is>
          <t>GROUP D — EXECUTION RESULTS  (pssgen)</t>
        </is>
      </c>
      <c r="X1" s="5" t="inlineStr">
        <is>
          <t>GROUP E — CLOSURE  (engineer)</t>
        </is>
      </c>
      <c r="AB1" s="6" t="inlineStr">
        <is>
          <t>GROUP F — PROGRAM CONTEXT  (set once per release)</t>
        </is>
      </c>
    </row>
    <row r="2" ht="32" customHeight="1">
      <c r="A2" s="7" t="inlineStr">
        <is>
          <t>Req_ID</t>
        </is>
      </c>
      <c r="B2" s="7" t="inlineStr">
        <is>
          <t>Family</t>
        </is>
      </c>
      <c r="C2" s="7" t="inlineStr">
        <is>
          <t>Type</t>
        </is>
      </c>
      <c r="D2" s="7" t="inlineStr">
        <is>
          <t>Statement</t>
        </is>
      </c>
      <c r="E2" s="7" t="inlineStr">
        <is>
          <t>Source_Doc</t>
        </is>
      </c>
      <c r="F2" s="7" t="inlineStr">
        <is>
          <t>Source_Section</t>
        </is>
      </c>
      <c r="G2" s="7" t="inlineStr">
        <is>
          <t>Verification_Method</t>
        </is>
      </c>
      <c r="H2" s="7" t="inlineStr">
        <is>
          <t>Covered_By</t>
        </is>
      </c>
      <c r="I2" s="7" t="inlineStr">
        <is>
          <t>Stimulus_Strategy</t>
        </is>
      </c>
      <c r="J2" s="7" t="inlineStr">
        <is>
          <t>Boundary_Notes</t>
        </is>
      </c>
      <c r="K2" s="7" t="inlineStr">
        <is>
          <t>Disposition</t>
        </is>
      </c>
      <c r="L2" s="7" t="inlineStr">
        <is>
          <t>Waiver_Rationale</t>
        </is>
      </c>
      <c r="M2" s="7" t="inlineStr">
        <is>
          <t>Risk_Acceptance</t>
        </is>
      </c>
      <c r="N2" s="7" t="inlineStr">
        <is>
          <t>Test_Name</t>
        </is>
      </c>
      <c r="O2" s="7" t="inlineStr">
        <is>
          <t>HDL_Source</t>
        </is>
      </c>
      <c r="P2" s="7" t="inlineStr">
        <is>
          <t>Sim_Mode</t>
        </is>
      </c>
      <c r="Q2" s="7" t="inlineStr">
        <is>
          <t>RTL_Status</t>
        </is>
      </c>
      <c r="R2" s="7" t="inlineStr">
        <is>
          <t>RTL_Run_Date</t>
        </is>
      </c>
      <c r="S2" s="7" t="inlineStr">
        <is>
          <t>RTL_Commit</t>
        </is>
      </c>
      <c r="T2" s="7" t="inlineStr">
        <is>
          <t>RTL_Evidence</t>
        </is>
      </c>
      <c r="U2" s="7" t="inlineStr">
        <is>
          <t>Gate_Status</t>
        </is>
      </c>
      <c r="V2" s="7" t="inlineStr">
        <is>
          <t>Gate_Evidence</t>
        </is>
      </c>
      <c r="W2" s="7" t="inlineStr">
        <is>
          <t>Anomaly_ID</t>
        </is>
      </c>
      <c r="X2" s="7" t="inlineStr">
        <is>
          <t>Overall_Status</t>
        </is>
      </c>
      <c r="Y2" s="7" t="inlineStr">
        <is>
          <t>Closure_Author</t>
        </is>
      </c>
      <c r="Z2" s="7" t="inlineStr">
        <is>
          <t>Closure_Date</t>
        </is>
      </c>
      <c r="AA2" s="7" t="inlineStr">
        <is>
          <t>Closure_Notes</t>
        </is>
      </c>
      <c r="AB2" s="7" t="inlineStr">
        <is>
          <t>IP_Version</t>
        </is>
      </c>
      <c r="AC2" s="7" t="inlineStr">
        <is>
          <t>Target_Device</t>
        </is>
      </c>
      <c r="AD2" s="7" t="inlineStr">
        <is>
          <t>Spec_Revision</t>
        </is>
      </c>
    </row>
    <row r="3" ht="40" customHeight="1">
      <c r="A3" s="8" t="inlineStr">
        <is>
          <t>[BLOCK-FAM-NNN]</t>
        </is>
      </c>
      <c r="B3" s="8" t="inlineStr">
        <is>
          <t>FAM</t>
        </is>
      </c>
      <c r="C3" s="8" t="inlineStr">
        <is>
          <t>functional</t>
        </is>
      </c>
      <c r="D3" s="9" t="inlineStr">
        <is>
          <t>The [block] shall [behavior] when [condition].</t>
        </is>
      </c>
      <c r="E3" s="8" t="inlineStr">
        <is>
          <t>SPEC-RS-001</t>
        </is>
      </c>
      <c r="F3" s="8" t="inlineStr">
        <is>
          <t>§N.N</t>
        </is>
      </c>
      <c r="G3" s="8" t="inlineStr">
        <is>
          <t>test</t>
        </is>
      </c>
      <c r="H3" s="8" t="inlineStr">
        <is>
          <t>COV-NNN</t>
        </is>
      </c>
      <c r="I3" s="9" t="inlineStr">
        <is>
          <t>Describe how the COV item exercises this requirement.</t>
        </is>
      </c>
      <c r="J3" s="9" t="inlineStr">
        <is>
          <t>Corner cases, boundary values.</t>
        </is>
      </c>
      <c r="K3" s="8" t="inlineStr">
        <is>
          <t>GENERATED</t>
        </is>
      </c>
      <c r="L3" s="9" t="inlineStr">
        <is>
          <t>(populate only when WAIVED)</t>
        </is>
      </c>
      <c r="M3" s="8" t="inlineStr">
        <is>
          <t>(populate only when WAIVED)</t>
        </is>
      </c>
      <c r="N3" s="9" t="inlineStr">
        <is>
          <t>block_feature_test</t>
        </is>
      </c>
      <c r="O3" s="9" t="inlineStr">
        <is>
          <t>vhdl/block.vhd</t>
        </is>
      </c>
      <c r="P3" s="8" t="inlineStr">
        <is>
          <t>RTL</t>
        </is>
      </c>
      <c r="Q3" s="8" t="inlineStr">
        <is>
          <t>NOT_RUN</t>
        </is>
      </c>
      <c r="R3" s="8" t="inlineStr"/>
      <c r="S3" s="8" t="inlineStr"/>
      <c r="T3" s="9" t="inlineStr"/>
      <c r="U3" s="8" t="inlineStr">
        <is>
          <t>NOT_RUN</t>
        </is>
      </c>
      <c r="V3" s="9" t="inlineStr"/>
      <c r="W3" s="8" t="inlineStr"/>
      <c r="X3" s="8">
        <f>IF(K3="WAIVED","WAIVED",IF(H3="","OPEN",IF(Q3="PASS",IF(Y3&lt;&gt;"","CLOSED","PASSING"),IF(Q3="FAIL","FAILING","COVERED"))))</f>
        <v/>
      </c>
      <c r="Y3" s="8" t="inlineStr"/>
      <c r="Z3" s="8" t="inlineStr"/>
      <c r="AA3" s="9" t="inlineStr"/>
      <c r="AB3" s="8" t="inlineStr">
        <is>
          <t>0.0.0</t>
        </is>
      </c>
      <c r="AC3" s="8" t="inlineStr"/>
      <c r="AD3" s="8" t="inlineStr"/>
    </row>
    <row r="4">
      <c r="A4" s="16" t="inlineStr">
        <is>
          <t>UART-PAR-001</t>
        </is>
      </c>
      <c r="B4" s="16" t="inlineStr">
        <is>
          <t>PAR</t>
        </is>
      </c>
      <c r="C4" s="16" t="inlineStr">
        <is>
          <t>parametric</t>
        </is>
      </c>
      <c r="D4" s="16" t="inlineStr">
        <is>
          <t>The Buffered AXI-Lite UART shall implement the four compile-time parameters defined in Table 3-2 with the VHDL names G_CLK_FREQ_HZ, G_DEFAULT_BAUD, G_FIFO_DEPTH, and G_TIMEOUT_DEFAULT, and the equivalent SystemVerilog names P_CLK_FREQ_HZ, P_DEFAULT_BAUD, P_FIFO_DEPTH, and P_TIMEOUT_DEFAULT, with the specified types, defaults, and valid ranges.</t>
        </is>
      </c>
      <c r="E4" s="16" t="inlineStr">
        <is>
          <t>BALU-RS-001</t>
        </is>
      </c>
      <c r="F4" s="16" t="inlineStr">
        <is>
          <t>§3.4</t>
        </is>
      </c>
      <c r="G4" s="16" t="inlineStr">
        <is>
          <t>inspection</t>
        </is>
      </c>
      <c r="H4" s="16" t="inlineStr">
        <is>
          <t>COV-017</t>
        </is>
      </c>
      <c r="I4" s="16" t="inlineStr">
        <is>
          <t>Structural inspection: verify 8-bit data frames transmitted and received, AXI data width=32, address width sufficient, single-beat transactions only.</t>
        </is>
      </c>
      <c r="J4" s="16" t="inlineStr"/>
      <c r="K4" s="16" t="inlineStr">
        <is>
          <t>GENERATED</t>
        </is>
      </c>
      <c r="L4" s="16" t="inlineStr"/>
      <c r="M4" s="16" t="inlineStr"/>
      <c r="N4" s="16" t="inlineStr"/>
      <c r="O4" s="16" t="inlineStr">
        <is>
          <t>vhdl/buffered_axi_lite_uart.vhd</t>
        </is>
      </c>
      <c r="P4" s="16" t="inlineStr">
        <is>
          <t>RTL</t>
        </is>
      </c>
      <c r="Q4" s="16" t="inlineStr">
        <is>
          <t>NOT_RUN</t>
        </is>
      </c>
      <c r="R4" s="16" t="inlineStr"/>
      <c r="S4" s="16" t="inlineStr"/>
      <c r="T4" s="16" t="inlineStr"/>
      <c r="U4" s="16" t="inlineStr">
        <is>
          <t>NOT_RUN</t>
        </is>
      </c>
      <c r="V4" s="16" t="inlineStr"/>
      <c r="W4" s="16" t="inlineStr"/>
      <c r="X4" s="17">
        <f>IF(K4="WAIVED","WAIVED",IF(H4="","OPEN",IF(Q4="PASS",IF(Y4&lt;&gt;"","CLOSED","PASSING"),IF(Q4="FAIL","FAILING","COVERED"))))</f>
        <v/>
      </c>
      <c r="Y4" s="16" t="inlineStr"/>
      <c r="Z4" s="16" t="inlineStr"/>
      <c r="AA4" s="16" t="inlineStr"/>
      <c r="AB4" s="16" t="inlineStr">
        <is>
          <t>1.0.0</t>
        </is>
      </c>
      <c r="AC4" s="16" t="inlineStr">
        <is>
          <t>ZUBoard 1CG / Basys 3</t>
        </is>
      </c>
      <c r="AD4" s="16" t="inlineStr">
        <is>
          <t>BALU-RS-001 Rev 0.4</t>
        </is>
      </c>
    </row>
    <row r="5">
      <c r="A5" s="16" t="inlineStr">
        <is>
          <t>UART-PAR-002</t>
        </is>
      </c>
      <c r="B5" s="16" t="inlineStr">
        <is>
          <t>PAR</t>
        </is>
      </c>
      <c r="C5" s="16" t="inlineStr">
        <is>
          <t>parametric</t>
        </is>
      </c>
      <c r="D5" s="16" t="inlineStr">
        <is>
          <t>The Buffered AXI-Lite UART shall implement the FIFO depth parameter (G_FIFO_DEPTH in VHDL, P_FIFO_DEPTH in SystemVerilog) as a power of 2 in the range 8 to 256 inclusive.</t>
        </is>
      </c>
      <c r="E5" s="16" t="inlineStr">
        <is>
          <t>BALU-RS-001</t>
        </is>
      </c>
      <c r="F5" s="16" t="inlineStr">
        <is>
          <t>§3.4</t>
        </is>
      </c>
      <c r="G5" s="16" t="inlineStr">
        <is>
          <t>analysis</t>
        </is>
      </c>
      <c r="H5" s="16" t="inlineStr">
        <is>
          <t>COV-017</t>
        </is>
      </c>
      <c r="I5" s="16" t="inlineStr">
        <is>
          <t>Structural inspection: verify 8-bit data frames transmitted and received, AXI data width=32, address width sufficient, single-beat transactions only.</t>
        </is>
      </c>
      <c r="J5" s="16" t="inlineStr"/>
      <c r="K5" s="16" t="inlineStr">
        <is>
          <t>GENERATED</t>
        </is>
      </c>
      <c r="L5" s="16" t="inlineStr"/>
      <c r="M5" s="16" t="inlineStr"/>
      <c r="N5" s="16" t="inlineStr"/>
      <c r="O5" s="16" t="inlineStr">
        <is>
          <t>vhdl/buffered_axi_lite_uart.vhd</t>
        </is>
      </c>
      <c r="P5" s="16" t="inlineStr">
        <is>
          <t>RTL</t>
        </is>
      </c>
      <c r="Q5" s="16" t="inlineStr">
        <is>
          <t>NOT_RUN</t>
        </is>
      </c>
      <c r="R5" s="16" t="inlineStr"/>
      <c r="S5" s="16" t="inlineStr"/>
      <c r="T5" s="16" t="inlineStr"/>
      <c r="U5" s="16" t="inlineStr">
        <is>
          <t>NOT_RUN</t>
        </is>
      </c>
      <c r="V5" s="16" t="inlineStr"/>
      <c r="W5" s="16" t="inlineStr"/>
      <c r="X5" s="17">
        <f>IF(K5="WAIVED","WAIVED",IF(H5="","OPEN",IF(Q5="PASS",IF(Y5&lt;&gt;"","CLOSED","PASSING"),IF(Q5="FAIL","FAILING","COVERED"))))</f>
        <v/>
      </c>
      <c r="Y5" s="16" t="inlineStr"/>
      <c r="Z5" s="16" t="inlineStr"/>
      <c r="AA5" s="16" t="inlineStr"/>
      <c r="AB5" s="16" t="inlineStr">
        <is>
          <t>1.0.0</t>
        </is>
      </c>
      <c r="AC5" s="16" t="inlineStr">
        <is>
          <t>ZUBoard 1CG / Basys 3</t>
        </is>
      </c>
      <c r="AD5" s="16" t="inlineStr">
        <is>
          <t>BALU-RS-001 Rev 0.4</t>
        </is>
      </c>
    </row>
    <row r="6">
      <c r="A6" s="16" t="inlineStr">
        <is>
          <t>UART-PAR-003</t>
        </is>
      </c>
      <c r="B6" s="16" t="inlineStr">
        <is>
          <t>PAR</t>
        </is>
      </c>
      <c r="C6" s="16" t="inlineStr">
        <is>
          <t>build-time</t>
        </is>
      </c>
      <c r="D6" s="16" t="inlineStr">
        <is>
          <t>The Buffered AXI-Lite UART shall produce an elaboration-time assertion failure with a descriptive message identifying the parameter name and violated constraint when any compile-time parameter is instantiated with a value outside its specified range. In VHDL the assertion severity shall be failure. In SystemVerilog $fatal shall be used.</t>
        </is>
      </c>
      <c r="E6" s="16" t="inlineStr">
        <is>
          <t>BALU-RS-001</t>
        </is>
      </c>
      <c r="F6" s="16" t="inlineStr">
        <is>
          <t>§3.4</t>
        </is>
      </c>
      <c r="G6" s="16" t="inlineStr">
        <is>
          <t>test</t>
        </is>
      </c>
      <c r="H6" s="16" t="inlineStr"/>
      <c r="I6" s="16" t="inlineStr"/>
      <c r="J6" s="16" t="inlineStr"/>
      <c r="K6" s="16" t="inlineStr">
        <is>
          <t>WAIVED</t>
        </is>
      </c>
      <c r="L6" s="16" t="inlineStr">
        <is>
          <t>Elaboration-time assertion — $fatal fires before simulation begins. Requires a separate negative build test. Deferred to build-system test phase.</t>
        </is>
      </c>
      <c r="M6" s="16" t="inlineStr">
        <is>
          <t>MEDIUM</t>
        </is>
      </c>
      <c r="N6" s="16" t="inlineStr"/>
      <c r="O6" s="16" t="inlineStr">
        <is>
          <t>vhdl/buffered_axi_lite_uart.vhd</t>
        </is>
      </c>
      <c r="P6" s="16" t="inlineStr">
        <is>
          <t>RTL</t>
        </is>
      </c>
      <c r="Q6" s="16" t="inlineStr">
        <is>
          <t>NOT_RUN</t>
        </is>
      </c>
      <c r="R6" s="16" t="inlineStr"/>
      <c r="S6" s="16" t="inlineStr"/>
      <c r="T6" s="16" t="inlineStr"/>
      <c r="U6" s="16" t="inlineStr">
        <is>
          <t>NOT_RUN</t>
        </is>
      </c>
      <c r="V6" s="16" t="inlineStr"/>
      <c r="W6" s="16" t="inlineStr"/>
      <c r="X6" s="17">
        <f>IF(K6="WAIVED","WAIVED",IF(H6="","OPEN",IF(Q6="PASS",IF(Y6&lt;&gt;"","CLOSED","PASSING"),IF(Q6="FAIL","FAILING","COVERED"))))</f>
        <v/>
      </c>
      <c r="Y6" s="16" t="inlineStr"/>
      <c r="Z6" s="16" t="inlineStr"/>
      <c r="AA6" s="16" t="inlineStr"/>
      <c r="AB6" s="16" t="inlineStr">
        <is>
          <t>1.0.0</t>
        </is>
      </c>
      <c r="AC6" s="16" t="inlineStr">
        <is>
          <t>ZUBoard 1CG / Basys 3</t>
        </is>
      </c>
      <c r="AD6" s="16" t="inlineStr">
        <is>
          <t>BALU-RS-001 Rev 0.4</t>
        </is>
      </c>
    </row>
    <row r="7">
      <c r="A7" s="16" t="inlineStr">
        <is>
          <t>UART-PAR-004</t>
        </is>
      </c>
      <c r="B7" s="16" t="inlineStr">
        <is>
          <t>PAR</t>
        </is>
      </c>
      <c r="C7" s="16" t="inlineStr">
        <is>
          <t>parametric</t>
        </is>
      </c>
      <c r="D7" s="16" t="inlineStr">
        <is>
          <t>The Buffered AXI-Lite UART shall accept a system clock frequency parameter (G_CLK_FREQ_HZ / P_CLK_FREQ_HZ) in the range 1,000,000 to 1,000,000,000 inclusive specifying the system clock frequency in Hz.</t>
        </is>
      </c>
      <c r="E7" s="16" t="inlineStr">
        <is>
          <t>BALU-RS-001</t>
        </is>
      </c>
      <c r="F7" s="16" t="inlineStr">
        <is>
          <t>§3.4</t>
        </is>
      </c>
      <c r="G7" s="16" t="inlineStr">
        <is>
          <t>analysis</t>
        </is>
      </c>
      <c r="H7" s="16" t="inlineStr">
        <is>
          <t>COV-001</t>
        </is>
      </c>
      <c r="I7" s="16" t="inlineStr">
        <is>
          <t>NCO tuning word sweep at 12 values from minimum (0x00000001) to maximum (0xFFFFFFFF) including all standard baud rates.</t>
        </is>
      </c>
      <c r="J7" s="16" t="inlineStr"/>
      <c r="K7" s="16" t="inlineStr">
        <is>
          <t>GENERATED</t>
        </is>
      </c>
      <c r="L7" s="16" t="inlineStr"/>
      <c r="M7" s="16" t="inlineStr"/>
      <c r="N7" s="16" t="inlineStr"/>
      <c r="O7" s="16" t="inlineStr">
        <is>
          <t>vhdl/buffered_axi_lite_uart.vhd</t>
        </is>
      </c>
      <c r="P7" s="16" t="inlineStr">
        <is>
          <t>RTL</t>
        </is>
      </c>
      <c r="Q7" s="16" t="inlineStr">
        <is>
          <t>NOT_RUN</t>
        </is>
      </c>
      <c r="R7" s="16" t="inlineStr"/>
      <c r="S7" s="16" t="inlineStr"/>
      <c r="T7" s="16" t="inlineStr"/>
      <c r="U7" s="16" t="inlineStr">
        <is>
          <t>NOT_RUN</t>
        </is>
      </c>
      <c r="V7" s="16" t="inlineStr"/>
      <c r="W7" s="16" t="inlineStr"/>
      <c r="X7" s="17">
        <f>IF(K7="WAIVED","WAIVED",IF(H7="","OPEN",IF(Q7="PASS",IF(Y7&lt;&gt;"","CLOSED","PASSING"),IF(Q7="FAIL","FAILING","COVERED"))))</f>
        <v/>
      </c>
      <c r="Y7" s="16" t="inlineStr"/>
      <c r="Z7" s="16" t="inlineStr"/>
      <c r="AA7" s="16" t="inlineStr"/>
      <c r="AB7" s="16" t="inlineStr">
        <is>
          <t>1.0.0</t>
        </is>
      </c>
      <c r="AC7" s="16" t="inlineStr">
        <is>
          <t>ZUBoard 1CG / Basys 3</t>
        </is>
      </c>
      <c r="AD7" s="16" t="inlineStr">
        <is>
          <t>BALU-RS-001 Rev 0.4</t>
        </is>
      </c>
    </row>
    <row r="8">
      <c r="A8" s="16" t="inlineStr">
        <is>
          <t>UART-PAR-005</t>
        </is>
      </c>
      <c r="B8" s="16" t="inlineStr">
        <is>
          <t>PAR</t>
        </is>
      </c>
      <c r="C8" s="16" t="inlineStr">
        <is>
          <t>parametric</t>
        </is>
      </c>
      <c r="D8" s="16" t="inlineStr">
        <is>
          <t>The Buffered AXI-Lite UART shall accept a default baud rate parameter (G_DEFAULT_BAUD / P_DEFAULT_BAUD) in the range 1 to CLK_FREQ_HZ / 2 inclusive specifying the target baud rate at reset.</t>
        </is>
      </c>
      <c r="E8" s="16" t="inlineStr">
        <is>
          <t>BALU-RS-001</t>
        </is>
      </c>
      <c r="F8" s="16" t="inlineStr">
        <is>
          <t>§3.4</t>
        </is>
      </c>
      <c r="G8" s="16" t="inlineStr">
        <is>
          <t>analysis</t>
        </is>
      </c>
      <c r="H8" s="16" t="inlineStr">
        <is>
          <t>COV-001</t>
        </is>
      </c>
      <c r="I8" s="16" t="inlineStr">
        <is>
          <t>NCO tuning word sweep at 12 values from minimum (0x00000001) to maximum (0xFFFFFFFF) including all standard baud rates.</t>
        </is>
      </c>
      <c r="J8" s="16" t="inlineStr"/>
      <c r="K8" s="16" t="inlineStr">
        <is>
          <t>GENERATED</t>
        </is>
      </c>
      <c r="L8" s="16" t="inlineStr"/>
      <c r="M8" s="16" t="inlineStr"/>
      <c r="N8" s="16" t="inlineStr"/>
      <c r="O8" s="16" t="inlineStr">
        <is>
          <t>vhdl/buffered_axi_lite_uart.vhd</t>
        </is>
      </c>
      <c r="P8" s="16" t="inlineStr">
        <is>
          <t>RTL</t>
        </is>
      </c>
      <c r="Q8" s="16" t="inlineStr">
        <is>
          <t>NOT_RUN</t>
        </is>
      </c>
      <c r="R8" s="16" t="inlineStr"/>
      <c r="S8" s="16" t="inlineStr"/>
      <c r="T8" s="16" t="inlineStr"/>
      <c r="U8" s="16" t="inlineStr">
        <is>
          <t>NOT_RUN</t>
        </is>
      </c>
      <c r="V8" s="16" t="inlineStr"/>
      <c r="W8" s="16" t="inlineStr"/>
      <c r="X8" s="17">
        <f>IF(K8="WAIVED","WAIVED",IF(H8="","OPEN",IF(Q8="PASS",IF(Y8&lt;&gt;"","CLOSED","PASSING"),IF(Q8="FAIL","FAILING","COVERED"))))</f>
        <v/>
      </c>
      <c r="Y8" s="16" t="inlineStr"/>
      <c r="Z8" s="16" t="inlineStr"/>
      <c r="AA8" s="16" t="inlineStr"/>
      <c r="AB8" s="16" t="inlineStr">
        <is>
          <t>1.0.0</t>
        </is>
      </c>
      <c r="AC8" s="16" t="inlineStr">
        <is>
          <t>ZUBoard 1CG / Basys 3</t>
        </is>
      </c>
      <c r="AD8" s="16" t="inlineStr">
        <is>
          <t>BALU-RS-001 Rev 0.4</t>
        </is>
      </c>
    </row>
    <row r="9">
      <c r="A9" s="16" t="inlineStr">
        <is>
          <t>UART-PAR-006</t>
        </is>
      </c>
      <c r="B9" s="16" t="inlineStr">
        <is>
          <t>PAR</t>
        </is>
      </c>
      <c r="C9" s="16" t="inlineStr">
        <is>
          <t>parametric</t>
        </is>
      </c>
      <c r="D9" s="16" t="inlineStr">
        <is>
          <t>The Buffered AXI-Lite UART shall accept a timeout default parameter (G_TIMEOUT_DEFAULT / P_TIMEOUT_DEFAULT) in the range 0 to 65535 inclusive specifying the TIMEOUT_VAL register reset value in baud clock ticks. A value of 0 disables the receive timeout at reset.</t>
        </is>
      </c>
      <c r="E9" s="16" t="inlineStr">
        <is>
          <t>BALU-RS-001</t>
        </is>
      </c>
      <c r="F9" s="16" t="inlineStr">
        <is>
          <t>§3.4</t>
        </is>
      </c>
      <c r="G9" s="16" t="inlineStr">
        <is>
          <t>analysis</t>
        </is>
      </c>
      <c r="H9" s="16" t="inlineStr">
        <is>
          <t>COV-006</t>
        </is>
      </c>
      <c r="I9" s="16" t="inlineStr">
        <is>
          <t>TIMEOUT_VAL set to 0x0000, 0x0001, G_TIMEOUT_DEFAULT, 0xFFFE, and 0xFFFF; idle receiver until timeout fires for each non-zero value.</t>
        </is>
      </c>
      <c r="J9" s="16" t="inlineStr"/>
      <c r="K9" s="16" t="inlineStr">
        <is>
          <t>GENERATED</t>
        </is>
      </c>
      <c r="L9" s="16" t="inlineStr"/>
      <c r="M9" s="16" t="inlineStr"/>
      <c r="N9" s="16" t="inlineStr"/>
      <c r="O9" s="16" t="inlineStr">
        <is>
          <t>vhdl/buffered_axi_lite_uart.vhd</t>
        </is>
      </c>
      <c r="P9" s="16" t="inlineStr">
        <is>
          <t>RTL</t>
        </is>
      </c>
      <c r="Q9" s="16" t="inlineStr">
        <is>
          <t>NOT_RUN</t>
        </is>
      </c>
      <c r="R9" s="16" t="inlineStr"/>
      <c r="S9" s="16" t="inlineStr"/>
      <c r="T9" s="16" t="inlineStr"/>
      <c r="U9" s="16" t="inlineStr">
        <is>
          <t>NOT_RUN</t>
        </is>
      </c>
      <c r="V9" s="16" t="inlineStr"/>
      <c r="W9" s="16" t="inlineStr"/>
      <c r="X9" s="17">
        <f>IF(K9="WAIVED","WAIVED",IF(H9="","OPEN",IF(Q9="PASS",IF(Y9&lt;&gt;"","CLOSED","PASSING"),IF(Q9="FAIL","FAILING","COVERED"))))</f>
        <v/>
      </c>
      <c r="Y9" s="16" t="inlineStr"/>
      <c r="Z9" s="16" t="inlineStr"/>
      <c r="AA9" s="16" t="inlineStr"/>
      <c r="AB9" s="16" t="inlineStr">
        <is>
          <t>1.0.0</t>
        </is>
      </c>
      <c r="AC9" s="16" t="inlineStr">
        <is>
          <t>ZUBoard 1CG / Basys 3</t>
        </is>
      </c>
      <c r="AD9" s="16" t="inlineStr">
        <is>
          <t>BALU-RS-001 Rev 0.4</t>
        </is>
      </c>
    </row>
    <row r="10">
      <c r="A10" s="16" t="inlineStr">
        <is>
          <t>UART-PAR-007</t>
        </is>
      </c>
      <c r="B10" s="16" t="inlineStr">
        <is>
          <t>PAR</t>
        </is>
      </c>
      <c r="C10" s="16" t="inlineStr">
        <is>
          <t>parametric</t>
        </is>
      </c>
      <c r="D10" s="16" t="inlineStr">
        <is>
          <t>The Buffered AXI-Lite UART shall compute the BAUD_TUNING register reset value (C_BAUD_TUNING_RESET in VHDL, LP_BAUD_TUNING_RESET in SystemVerilog) as round(DEFAULT_BAUD × 2³² / CLK_FREQ_HZ) using round-to-nearest arithmetic. Truncation shall not be used for this computation.</t>
        </is>
      </c>
      <c r="E10" s="16" t="inlineStr">
        <is>
          <t>BALU-RS-001</t>
        </is>
      </c>
      <c r="F10" s="16" t="inlineStr">
        <is>
          <t>§3.4</t>
        </is>
      </c>
      <c r="G10" s="16" t="inlineStr">
        <is>
          <t>analysis</t>
        </is>
      </c>
      <c r="H10" s="16" t="inlineStr">
        <is>
          <t>COV-001, COV-015</t>
        </is>
      </c>
      <c r="I10" s="16" t="inlineStr">
        <is>
          <t>NCO tuning word sweep at 12 values from minimum (0x00000001) to maximum (0xFFFFFFFF) including all standard baud rates.</t>
        </is>
      </c>
      <c r="J10" s="16" t="inlineStr"/>
      <c r="K10" s="16" t="inlineStr">
        <is>
          <t>GENERATED</t>
        </is>
      </c>
      <c r="L10" s="16" t="inlineStr"/>
      <c r="M10" s="16" t="inlineStr"/>
      <c r="N10" s="16" t="inlineStr"/>
      <c r="O10" s="16" t="inlineStr">
        <is>
          <t>vhdl/buffered_axi_lite_uart.vhd</t>
        </is>
      </c>
      <c r="P10" s="16" t="inlineStr">
        <is>
          <t>RTL</t>
        </is>
      </c>
      <c r="Q10" s="16" t="inlineStr">
        <is>
          <t>NOT_RUN</t>
        </is>
      </c>
      <c r="R10" s="16" t="inlineStr"/>
      <c r="S10" s="16" t="inlineStr"/>
      <c r="T10" s="16" t="inlineStr"/>
      <c r="U10" s="16" t="inlineStr">
        <is>
          <t>NOT_RUN</t>
        </is>
      </c>
      <c r="V10" s="16" t="inlineStr"/>
      <c r="W10" s="16" t="inlineStr"/>
      <c r="X10" s="17">
        <f>IF(K10="WAIVED","WAIVED",IF(H10="","OPEN",IF(Q10="PASS",IF(Y10&lt;&gt;"","CLOSED","PASSING"),IF(Q10="FAIL","FAILING","COVERED"))))</f>
        <v/>
      </c>
      <c r="Y10" s="16" t="inlineStr"/>
      <c r="Z10" s="16" t="inlineStr"/>
      <c r="AA10" s="16" t="inlineStr"/>
      <c r="AB10" s="16" t="inlineStr">
        <is>
          <t>1.0.0</t>
        </is>
      </c>
      <c r="AC10" s="16" t="inlineStr">
        <is>
          <t>ZUBoard 1CG / Basys 3</t>
        </is>
      </c>
      <c r="AD10" s="16" t="inlineStr">
        <is>
          <t>BALU-RS-001 Rev 0.4</t>
        </is>
      </c>
    </row>
    <row r="11">
      <c r="A11" s="16" t="inlineStr">
        <is>
          <t>UART-PAR-008</t>
        </is>
      </c>
      <c r="B11" s="16" t="inlineStr">
        <is>
          <t>PAR</t>
        </is>
      </c>
      <c r="C11" s="16" t="inlineStr">
        <is>
          <t>parametric</t>
        </is>
      </c>
      <c r="D11" s="16" t="inlineStr">
        <is>
          <t>The Buffered AXI-Lite UART shall set the FIFO_CTRL register reset value (C_FIFO_THRESH_RESET in VHDL, LP_FIFO_THRESH_RESET in SystemVerilog) such that TX_THRESH and RX_THRESH each equal FIFO_DEPTH / 2, providing threshold interrupts at half-full by default.</t>
        </is>
      </c>
      <c r="E11" s="16" t="inlineStr">
        <is>
          <t>BALU-RS-001</t>
        </is>
      </c>
      <c r="F11" s="16" t="inlineStr">
        <is>
          <t>§3.4</t>
        </is>
      </c>
      <c r="G11" s="16" t="inlineStr">
        <is>
          <t>test</t>
        </is>
      </c>
      <c r="H11" s="16" t="inlineStr">
        <is>
          <t>COV-015</t>
        </is>
      </c>
      <c r="I11" s="16" t="inlineStr">
        <is>
          <t>Assert then deassert reset; read all 12 registers and compare each field to the reset value specified in Table 8-x.</t>
        </is>
      </c>
      <c r="J11" s="16" t="inlineStr"/>
      <c r="K11" s="16" t="inlineStr">
        <is>
          <t>GENERATED</t>
        </is>
      </c>
      <c r="L11" s="16" t="inlineStr"/>
      <c r="M11" s="16" t="inlineStr"/>
      <c r="N11" s="16" t="inlineStr"/>
      <c r="O11" s="16" t="inlineStr">
        <is>
          <t>vhdl/buffered_axi_lite_uart.vhd</t>
        </is>
      </c>
      <c r="P11" s="16" t="inlineStr">
        <is>
          <t>RTL</t>
        </is>
      </c>
      <c r="Q11" s="16" t="inlineStr">
        <is>
          <t>NOT_RUN</t>
        </is>
      </c>
      <c r="R11" s="16" t="inlineStr"/>
      <c r="S11" s="16" t="inlineStr"/>
      <c r="T11" s="16" t="inlineStr"/>
      <c r="U11" s="16" t="inlineStr">
        <is>
          <t>NOT_RUN</t>
        </is>
      </c>
      <c r="V11" s="16" t="inlineStr"/>
      <c r="W11" s="16" t="inlineStr"/>
      <c r="X11" s="17">
        <f>IF(K11="WAIVED","WAIVED",IF(H11="","OPEN",IF(Q11="PASS",IF(Y11&lt;&gt;"","CLOSED","PASSING"),IF(Q11="FAIL","FAILING","COVERED"))))</f>
        <v/>
      </c>
      <c r="Y11" s="16" t="inlineStr"/>
      <c r="Z11" s="16" t="inlineStr"/>
      <c r="AA11" s="16" t="inlineStr"/>
      <c r="AB11" s="16" t="inlineStr">
        <is>
          <t>1.0.0</t>
        </is>
      </c>
      <c r="AC11" s="16" t="inlineStr">
        <is>
          <t>ZUBoard 1CG / Basys 3</t>
        </is>
      </c>
      <c r="AD11" s="16" t="inlineStr">
        <is>
          <t>BALU-RS-001 Rev 0.4</t>
        </is>
      </c>
    </row>
    <row r="12">
      <c r="A12" s="16" t="inlineStr">
        <is>
          <t>UART-PAR-009</t>
        </is>
      </c>
      <c r="B12" s="16" t="inlineStr">
        <is>
          <t>PAR</t>
        </is>
      </c>
      <c r="C12" s="16" t="inlineStr">
        <is>
          <t>parametric</t>
        </is>
      </c>
      <c r="D12" s="16" t="inlineStr">
        <is>
          <t>The Buffered AXI-Lite UART shall size the FIFO_STATUS TX_LEVEL and RX_LEVEL fields as 8-bit unsigned integers capable of representing occupancy values 0 to FIFO_DEPTH inclusive for all supported values of FIFO_DEPTH.</t>
        </is>
      </c>
      <c r="E12" s="16" t="inlineStr">
        <is>
          <t>BALU-RS-001</t>
        </is>
      </c>
      <c r="F12" s="16" t="inlineStr">
        <is>
          <t>§3.4</t>
        </is>
      </c>
      <c r="G12" s="16" t="inlineStr">
        <is>
          <t>test</t>
        </is>
      </c>
      <c r="H12" s="16" t="inlineStr">
        <is>
          <t>COV-017</t>
        </is>
      </c>
      <c r="I12" s="16" t="inlineStr">
        <is>
          <t>Structural inspection: verify 8-bit data frames transmitted and received, AXI data width=32, address width sufficient, single-beat transactions only.</t>
        </is>
      </c>
      <c r="J12" s="16" t="inlineStr"/>
      <c r="K12" s="16" t="inlineStr">
        <is>
          <t>GENERATED</t>
        </is>
      </c>
      <c r="L12" s="16" t="inlineStr"/>
      <c r="M12" s="16" t="inlineStr"/>
      <c r="N12" s="16" t="inlineStr"/>
      <c r="O12" s="16" t="inlineStr">
        <is>
          <t>vhdl/buffered_axi_lite_uart.vhd</t>
        </is>
      </c>
      <c r="P12" s="16" t="inlineStr">
        <is>
          <t>RTL</t>
        </is>
      </c>
      <c r="Q12" s="16" t="inlineStr">
        <is>
          <t>NOT_RUN</t>
        </is>
      </c>
      <c r="R12" s="16" t="inlineStr"/>
      <c r="S12" s="16" t="inlineStr"/>
      <c r="T12" s="16" t="inlineStr"/>
      <c r="U12" s="16" t="inlineStr">
        <is>
          <t>NOT_RUN</t>
        </is>
      </c>
      <c r="V12" s="16" t="inlineStr"/>
      <c r="W12" s="16" t="inlineStr"/>
      <c r="X12" s="17">
        <f>IF(K12="WAIVED","WAIVED",IF(H12="","OPEN",IF(Q12="PASS",IF(Y12&lt;&gt;"","CLOSED","PASSING"),IF(Q12="FAIL","FAILING","COVERED"))))</f>
        <v/>
      </c>
      <c r="Y12" s="16" t="inlineStr"/>
      <c r="Z12" s="16" t="inlineStr"/>
      <c r="AA12" s="16" t="inlineStr"/>
      <c r="AB12" s="16" t="inlineStr">
        <is>
          <t>1.0.0</t>
        </is>
      </c>
      <c r="AC12" s="16" t="inlineStr">
        <is>
          <t>ZUBoard 1CG / Basys 3</t>
        </is>
      </c>
      <c r="AD12" s="16" t="inlineStr">
        <is>
          <t>BALU-RS-001 Rev 0.4</t>
        </is>
      </c>
    </row>
    <row r="13">
      <c r="A13" s="16" t="inlineStr">
        <is>
          <t>UART-IF-001</t>
        </is>
      </c>
      <c r="B13" s="16" t="inlineStr">
        <is>
          <t>IF</t>
        </is>
      </c>
      <c r="C13" s="16" t="inlineStr">
        <is>
          <t>functional</t>
        </is>
      </c>
      <c r="D13" s="16" t="inlineStr">
        <is>
          <t>The Buffered AXI-Lite UART shall implement an AXI-Lite slave interface compliant with the ARM AMBA AXI4-Lite specification.</t>
        </is>
      </c>
      <c r="E13" s="16" t="inlineStr">
        <is>
          <t>BALU-RS-001</t>
        </is>
      </c>
      <c r="F13" s="16" t="inlineStr">
        <is>
          <t>§6.1</t>
        </is>
      </c>
      <c r="G13" s="16" t="inlineStr">
        <is>
          <t>test</t>
        </is>
      </c>
      <c r="H13" s="16" t="inlineStr">
        <is>
          <t>COV-017</t>
        </is>
      </c>
      <c r="I13" s="16" t="inlineStr">
        <is>
          <t>Structural inspection: verify 8-bit data frames transmitted and received, AXI data width=32, address width sufficient, single-beat transactions only.</t>
        </is>
      </c>
      <c r="J13" s="16" t="inlineStr"/>
      <c r="K13" s="16" t="inlineStr">
        <is>
          <t>GENERATED</t>
        </is>
      </c>
      <c r="L13" s="16" t="inlineStr"/>
      <c r="M13" s="16" t="inlineStr"/>
      <c r="N13" s="16" t="inlineStr"/>
      <c r="O13" s="16" t="inlineStr">
        <is>
          <t>vhdl/buffered_axi_lite_uart.vhd</t>
        </is>
      </c>
      <c r="P13" s="16" t="inlineStr">
        <is>
          <t>RTL</t>
        </is>
      </c>
      <c r="Q13" s="16" t="inlineStr">
        <is>
          <t>NOT_RUN</t>
        </is>
      </c>
      <c r="R13" s="16" t="inlineStr"/>
      <c r="S13" s="16" t="inlineStr"/>
      <c r="T13" s="16" t="inlineStr"/>
      <c r="U13" s="16" t="inlineStr">
        <is>
          <t>NOT_RUN</t>
        </is>
      </c>
      <c r="V13" s="16" t="inlineStr"/>
      <c r="W13" s="16" t="inlineStr"/>
      <c r="X13" s="17">
        <f>IF(K13="WAIVED","WAIVED",IF(H13="","OPEN",IF(Q13="PASS",IF(Y13&lt;&gt;"","CLOSED","PASSING"),IF(Q13="FAIL","FAILING","COVERED"))))</f>
        <v/>
      </c>
      <c r="Y13" s="16" t="inlineStr"/>
      <c r="Z13" s="16" t="inlineStr"/>
      <c r="AA13" s="16" t="inlineStr"/>
      <c r="AB13" s="16" t="inlineStr">
        <is>
          <t>1.0.0</t>
        </is>
      </c>
      <c r="AC13" s="16" t="inlineStr">
        <is>
          <t>ZUBoard 1CG / Basys 3</t>
        </is>
      </c>
      <c r="AD13" s="16" t="inlineStr">
        <is>
          <t>BALU-RS-001 Rev 0.4</t>
        </is>
      </c>
    </row>
    <row r="14">
      <c r="A14" s="16" t="inlineStr">
        <is>
          <t>UART-IF-002</t>
        </is>
      </c>
      <c r="B14" s="16" t="inlineStr">
        <is>
          <t>IF</t>
        </is>
      </c>
      <c r="C14" s="16" t="inlineStr">
        <is>
          <t>functional</t>
        </is>
      </c>
      <c r="D14" s="16" t="inlineStr">
        <is>
          <t>The Buffered AXI-Lite UART shall provide an AXI-Lite data width of 32 bits.</t>
        </is>
      </c>
      <c r="E14" s="16" t="inlineStr">
        <is>
          <t>BALU-RS-001</t>
        </is>
      </c>
      <c r="F14" s="16" t="inlineStr">
        <is>
          <t>§6.1</t>
        </is>
      </c>
      <c r="G14" s="16" t="inlineStr">
        <is>
          <t>inspection</t>
        </is>
      </c>
      <c r="H14" s="16" t="inlineStr">
        <is>
          <t>COV-017</t>
        </is>
      </c>
      <c r="I14" s="16" t="inlineStr">
        <is>
          <t>Structural inspection: verify 8-bit data frames transmitted and received, AXI data width=32, address width sufficient, single-beat transactions only.</t>
        </is>
      </c>
      <c r="J14" s="16" t="inlineStr"/>
      <c r="K14" s="16" t="inlineStr">
        <is>
          <t>GENERATED</t>
        </is>
      </c>
      <c r="L14" s="16" t="inlineStr"/>
      <c r="M14" s="16" t="inlineStr"/>
      <c r="N14" s="16" t="inlineStr"/>
      <c r="O14" s="16" t="inlineStr">
        <is>
          <t>vhdl/buffered_axi_lite_uart.vhd</t>
        </is>
      </c>
      <c r="P14" s="16" t="inlineStr">
        <is>
          <t>RTL</t>
        </is>
      </c>
      <c r="Q14" s="16" t="inlineStr">
        <is>
          <t>NOT_RUN</t>
        </is>
      </c>
      <c r="R14" s="16" t="inlineStr"/>
      <c r="S14" s="16" t="inlineStr"/>
      <c r="T14" s="16" t="inlineStr"/>
      <c r="U14" s="16" t="inlineStr">
        <is>
          <t>NOT_RUN</t>
        </is>
      </c>
      <c r="V14" s="16" t="inlineStr"/>
      <c r="W14" s="16" t="inlineStr"/>
      <c r="X14" s="17">
        <f>IF(K14="WAIVED","WAIVED",IF(H14="","OPEN",IF(Q14="PASS",IF(Y14&lt;&gt;"","CLOSED","PASSING"),IF(Q14="FAIL","FAILING","COVERED"))))</f>
        <v/>
      </c>
      <c r="Y14" s="16" t="inlineStr"/>
      <c r="Z14" s="16" t="inlineStr"/>
      <c r="AA14" s="16" t="inlineStr"/>
      <c r="AB14" s="16" t="inlineStr">
        <is>
          <t>1.0.0</t>
        </is>
      </c>
      <c r="AC14" s="16" t="inlineStr">
        <is>
          <t>ZUBoard 1CG / Basys 3</t>
        </is>
      </c>
      <c r="AD14" s="16" t="inlineStr">
        <is>
          <t>BALU-RS-001 Rev 0.4</t>
        </is>
      </c>
    </row>
    <row r="15">
      <c r="A15" s="16" t="inlineStr">
        <is>
          <t>UART-IF-003</t>
        </is>
      </c>
      <c r="B15" s="16" t="inlineStr">
        <is>
          <t>IF</t>
        </is>
      </c>
      <c r="C15" s="16" t="inlineStr">
        <is>
          <t>functional</t>
        </is>
      </c>
      <c r="D15" s="16" t="inlineStr">
        <is>
          <t>The Buffered AXI-Lite UART shall provide an AXI-Lite address width sufficient to address all defined register offsets within the peripheral address space.</t>
        </is>
      </c>
      <c r="E15" s="16" t="inlineStr">
        <is>
          <t>BALU-RS-001</t>
        </is>
      </c>
      <c r="F15" s="16" t="inlineStr">
        <is>
          <t>§6.1</t>
        </is>
      </c>
      <c r="G15" s="16" t="inlineStr">
        <is>
          <t>inspection</t>
        </is>
      </c>
      <c r="H15" s="16" t="inlineStr">
        <is>
          <t>COV-017</t>
        </is>
      </c>
      <c r="I15" s="16" t="inlineStr">
        <is>
          <t>Structural inspection: verify 8-bit data frames transmitted and received, AXI data width=32, address width sufficient, single-beat transactions only.</t>
        </is>
      </c>
      <c r="J15" s="16" t="inlineStr"/>
      <c r="K15" s="16" t="inlineStr">
        <is>
          <t>GENERATED</t>
        </is>
      </c>
      <c r="L15" s="16" t="inlineStr"/>
      <c r="M15" s="16" t="inlineStr"/>
      <c r="N15" s="16" t="inlineStr"/>
      <c r="O15" s="16" t="inlineStr">
        <is>
          <t>vhdl/buffered_axi_lite_uart.vhd</t>
        </is>
      </c>
      <c r="P15" s="16" t="inlineStr">
        <is>
          <t>RTL</t>
        </is>
      </c>
      <c r="Q15" s="16" t="inlineStr">
        <is>
          <t>NOT_RUN</t>
        </is>
      </c>
      <c r="R15" s="16" t="inlineStr"/>
      <c r="S15" s="16" t="inlineStr"/>
      <c r="T15" s="16" t="inlineStr"/>
      <c r="U15" s="16" t="inlineStr">
        <is>
          <t>NOT_RUN</t>
        </is>
      </c>
      <c r="V15" s="16" t="inlineStr"/>
      <c r="W15" s="16" t="inlineStr"/>
      <c r="X15" s="17">
        <f>IF(K15="WAIVED","WAIVED",IF(H15="","OPEN",IF(Q15="PASS",IF(Y15&lt;&gt;"","CLOSED","PASSING"),IF(Q15="FAIL","FAILING","COVERED"))))</f>
        <v/>
      </c>
      <c r="Y15" s="16" t="inlineStr"/>
      <c r="Z15" s="16" t="inlineStr"/>
      <c r="AA15" s="16" t="inlineStr"/>
      <c r="AB15" s="16" t="inlineStr">
        <is>
          <t>1.0.0</t>
        </is>
      </c>
      <c r="AC15" s="16" t="inlineStr">
        <is>
          <t>ZUBoard 1CG / Basys 3</t>
        </is>
      </c>
      <c r="AD15" s="16" t="inlineStr">
        <is>
          <t>BALU-RS-001 Rev 0.4</t>
        </is>
      </c>
    </row>
    <row r="16">
      <c r="A16" s="16" t="inlineStr">
        <is>
          <t>UART-IF-004</t>
        </is>
      </c>
      <c r="B16" s="16" t="inlineStr">
        <is>
          <t>IF</t>
        </is>
      </c>
      <c r="C16" s="16" t="inlineStr">
        <is>
          <t>functional</t>
        </is>
      </c>
      <c r="D16" s="16" t="inlineStr">
        <is>
          <t>The Buffered AXI-Lite UART shall accept single-beat AXI-Lite read and write transactions only. Burst transactions shall not be supported.</t>
        </is>
      </c>
      <c r="E16" s="16" t="inlineStr">
        <is>
          <t>BALU-RS-001</t>
        </is>
      </c>
      <c r="F16" s="16" t="inlineStr">
        <is>
          <t>§6.1</t>
        </is>
      </c>
      <c r="G16" s="16" t="inlineStr">
        <is>
          <t>test</t>
        </is>
      </c>
      <c r="H16" s="16" t="inlineStr">
        <is>
          <t>COV-017</t>
        </is>
      </c>
      <c r="I16" s="16" t="inlineStr">
        <is>
          <t>Structural inspection: verify 8-bit data frames transmitted and received, AXI data width=32, address width sufficient, single-beat transactions only.</t>
        </is>
      </c>
      <c r="J16" s="16" t="inlineStr"/>
      <c r="K16" s="16" t="inlineStr">
        <is>
          <t>GENERATED</t>
        </is>
      </c>
      <c r="L16" s="16" t="inlineStr"/>
      <c r="M16" s="16" t="inlineStr"/>
      <c r="N16" s="16" t="inlineStr"/>
      <c r="O16" s="16" t="inlineStr">
        <is>
          <t>vhdl/buffered_axi_lite_uart.vhd</t>
        </is>
      </c>
      <c r="P16" s="16" t="inlineStr">
        <is>
          <t>RTL</t>
        </is>
      </c>
      <c r="Q16" s="16" t="inlineStr">
        <is>
          <t>NOT_RUN</t>
        </is>
      </c>
      <c r="R16" s="16" t="inlineStr"/>
      <c r="S16" s="16" t="inlineStr"/>
      <c r="T16" s="16" t="inlineStr"/>
      <c r="U16" s="16" t="inlineStr">
        <is>
          <t>NOT_RUN</t>
        </is>
      </c>
      <c r="V16" s="16" t="inlineStr"/>
      <c r="W16" s="16" t="inlineStr"/>
      <c r="X16" s="17">
        <f>IF(K16="WAIVED","WAIVED",IF(H16="","OPEN",IF(Q16="PASS",IF(Y16&lt;&gt;"","CLOSED","PASSING"),IF(Q16="FAIL","FAILING","COVERED"))))</f>
        <v/>
      </c>
      <c r="Y16" s="16" t="inlineStr"/>
      <c r="Z16" s="16" t="inlineStr"/>
      <c r="AA16" s="16" t="inlineStr"/>
      <c r="AB16" s="16" t="inlineStr">
        <is>
          <t>1.0.0</t>
        </is>
      </c>
      <c r="AC16" s="16" t="inlineStr">
        <is>
          <t>ZUBoard 1CG / Basys 3</t>
        </is>
      </c>
      <c r="AD16" s="16" t="inlineStr">
        <is>
          <t>BALU-RS-001 Rev 0.4</t>
        </is>
      </c>
    </row>
    <row r="17">
      <c r="A17" s="16" t="inlineStr">
        <is>
          <t>UART-IF-005</t>
        </is>
      </c>
      <c r="B17" s="16" t="inlineStr">
        <is>
          <t>IF</t>
        </is>
      </c>
      <c r="C17" s="16" t="inlineStr">
        <is>
          <t>functional</t>
        </is>
      </c>
      <c r="D17" s="16" t="inlineStr">
        <is>
          <t>The Buffered AXI-Lite UART shall accept AWVALID and WVALID arriving in any order on the write address and write data channels, and shall not complete the write transaction until both have been accepted.</t>
        </is>
      </c>
      <c r="E17" s="16" t="inlineStr">
        <is>
          <t>BALU-RS-001</t>
        </is>
      </c>
      <c r="F17" s="16" t="inlineStr">
        <is>
          <t>§6.1</t>
        </is>
      </c>
      <c r="G17" s="16" t="inlineStr">
        <is>
          <t>test</t>
        </is>
      </c>
      <c r="H17" s="16" t="inlineStr">
        <is>
          <t>COV-012</t>
        </is>
      </c>
      <c r="I17" s="16" t="inlineStr">
        <is>
          <t>Issue AXI write with AWVALID first then WVALID, then repeat with WVALID first then AWVALID; verify correct response in both orderings.</t>
        </is>
      </c>
      <c r="J17" s="16" t="inlineStr"/>
      <c r="K17" s="16" t="inlineStr">
        <is>
          <t>GENERATED</t>
        </is>
      </c>
      <c r="L17" s="16" t="inlineStr"/>
      <c r="M17" s="16" t="inlineStr"/>
      <c r="N17" s="16" t="inlineStr"/>
      <c r="O17" s="16" t="inlineStr">
        <is>
          <t>vhdl/buffered_axi_lite_uart.vhd</t>
        </is>
      </c>
      <c r="P17" s="16" t="inlineStr">
        <is>
          <t>RTL</t>
        </is>
      </c>
      <c r="Q17" s="16" t="inlineStr">
        <is>
          <t>NOT_RUN</t>
        </is>
      </c>
      <c r="R17" s="16" t="inlineStr"/>
      <c r="S17" s="16" t="inlineStr"/>
      <c r="T17" s="16" t="inlineStr"/>
      <c r="U17" s="16" t="inlineStr">
        <is>
          <t>NOT_RUN</t>
        </is>
      </c>
      <c r="V17" s="16" t="inlineStr"/>
      <c r="W17" s="16" t="inlineStr"/>
      <c r="X17" s="17">
        <f>IF(K17="WAIVED","WAIVED",IF(H17="","OPEN",IF(Q17="PASS",IF(Y17&lt;&gt;"","CLOSED","PASSING"),IF(Q17="FAIL","FAILING","COVERED"))))</f>
        <v/>
      </c>
      <c r="Y17" s="16" t="inlineStr"/>
      <c r="Z17" s="16" t="inlineStr"/>
      <c r="AA17" s="16" t="inlineStr"/>
      <c r="AB17" s="16" t="inlineStr">
        <is>
          <t>1.0.0</t>
        </is>
      </c>
      <c r="AC17" s="16" t="inlineStr">
        <is>
          <t>ZUBoard 1CG / Basys 3</t>
        </is>
      </c>
      <c r="AD17" s="16" t="inlineStr">
        <is>
          <t>BALU-RS-001 Rev 0.4</t>
        </is>
      </c>
    </row>
    <row r="18">
      <c r="A18" s="16" t="inlineStr">
        <is>
          <t>UART-IF-006</t>
        </is>
      </c>
      <c r="B18" s="16" t="inlineStr">
        <is>
          <t>IF</t>
        </is>
      </c>
      <c r="C18" s="16" t="inlineStr">
        <is>
          <t>functional</t>
        </is>
      </c>
      <c r="D18" s="16" t="inlineStr">
        <is>
          <t>The Buffered AXI-Lite UART shall return OKAY (2'b00) on BRESP for all successful write transactions.</t>
        </is>
      </c>
      <c r="E18" s="16" t="inlineStr">
        <is>
          <t>BALU-RS-001</t>
        </is>
      </c>
      <c r="F18" s="16" t="inlineStr">
        <is>
          <t>§6.1</t>
        </is>
      </c>
      <c r="G18" s="16" t="inlineStr">
        <is>
          <t>test</t>
        </is>
      </c>
      <c r="H18" s="16" t="inlineStr">
        <is>
          <t>COV-010</t>
        </is>
      </c>
      <c r="I18" s="16" t="inlineStr">
        <is>
          <t>AXI write to valid register offset (OKAY expected) and to undefined offset 0x30 (SLVERR expected); capture BRESP each time.</t>
        </is>
      </c>
      <c r="J18" s="16" t="inlineStr"/>
      <c r="K18" s="16" t="inlineStr">
        <is>
          <t>GENERATED</t>
        </is>
      </c>
      <c r="L18" s="16" t="inlineStr"/>
      <c r="M18" s="16" t="inlineStr"/>
      <c r="N18" s="16" t="inlineStr"/>
      <c r="O18" s="16" t="inlineStr">
        <is>
          <t>vhdl/buffered_axi_lite_uart.vhd</t>
        </is>
      </c>
      <c r="P18" s="16" t="inlineStr">
        <is>
          <t>RTL</t>
        </is>
      </c>
      <c r="Q18" s="16" t="inlineStr">
        <is>
          <t>NOT_RUN</t>
        </is>
      </c>
      <c r="R18" s="16" t="inlineStr"/>
      <c r="S18" s="16" t="inlineStr"/>
      <c r="T18" s="16" t="inlineStr"/>
      <c r="U18" s="16" t="inlineStr">
        <is>
          <t>NOT_RUN</t>
        </is>
      </c>
      <c r="V18" s="16" t="inlineStr"/>
      <c r="W18" s="16" t="inlineStr"/>
      <c r="X18" s="17">
        <f>IF(K18="WAIVED","WAIVED",IF(H18="","OPEN",IF(Q18="PASS",IF(Y18&lt;&gt;"","CLOSED","PASSING"),IF(Q18="FAIL","FAILING","COVERED"))))</f>
        <v/>
      </c>
      <c r="Y18" s="16" t="inlineStr"/>
      <c r="Z18" s="16" t="inlineStr"/>
      <c r="AA18" s="16" t="inlineStr"/>
      <c r="AB18" s="16" t="inlineStr">
        <is>
          <t>1.0.0</t>
        </is>
      </c>
      <c r="AC18" s="16" t="inlineStr">
        <is>
          <t>ZUBoard 1CG / Basys 3</t>
        </is>
      </c>
      <c r="AD18" s="16" t="inlineStr">
        <is>
          <t>BALU-RS-001 Rev 0.4</t>
        </is>
      </c>
    </row>
    <row r="19">
      <c r="A19" s="16" t="inlineStr">
        <is>
          <t>UART-IF-007</t>
        </is>
      </c>
      <c r="B19" s="16" t="inlineStr">
        <is>
          <t>IF</t>
        </is>
      </c>
      <c r="C19" s="16" t="inlineStr">
        <is>
          <t>functional</t>
        </is>
      </c>
      <c r="D19" s="16" t="inlineStr">
        <is>
          <t>The Buffered AXI-Lite UART shall return OKAY (2'b00) on RRESP for all successful read transactions.</t>
        </is>
      </c>
      <c r="E19" s="16" t="inlineStr">
        <is>
          <t>BALU-RS-001</t>
        </is>
      </c>
      <c r="F19" s="16" t="inlineStr">
        <is>
          <t>§6.1</t>
        </is>
      </c>
      <c r="G19" s="16" t="inlineStr">
        <is>
          <t>test</t>
        </is>
      </c>
      <c r="H19" s="16" t="inlineStr">
        <is>
          <t>COV-011</t>
        </is>
      </c>
      <c r="I19" s="16" t="inlineStr">
        <is>
          <t>AXI read from valid register offset (OKAY expected) and from undefined offset 0x30 (SLVERR expected); capture RRESP each time.</t>
        </is>
      </c>
      <c r="J19" s="16" t="inlineStr"/>
      <c r="K19" s="16" t="inlineStr">
        <is>
          <t>GENERATED</t>
        </is>
      </c>
      <c r="L19" s="16" t="inlineStr"/>
      <c r="M19" s="16" t="inlineStr"/>
      <c r="N19" s="16" t="inlineStr"/>
      <c r="O19" s="16" t="inlineStr">
        <is>
          <t>vhdl/buffered_axi_lite_uart.vhd</t>
        </is>
      </c>
      <c r="P19" s="16" t="inlineStr">
        <is>
          <t>RTL</t>
        </is>
      </c>
      <c r="Q19" s="16" t="inlineStr">
        <is>
          <t>NOT_RUN</t>
        </is>
      </c>
      <c r="R19" s="16" t="inlineStr"/>
      <c r="S19" s="16" t="inlineStr"/>
      <c r="T19" s="16" t="inlineStr"/>
      <c r="U19" s="16" t="inlineStr">
        <is>
          <t>NOT_RUN</t>
        </is>
      </c>
      <c r="V19" s="16" t="inlineStr"/>
      <c r="W19" s="16" t="inlineStr"/>
      <c r="X19" s="17">
        <f>IF(K19="WAIVED","WAIVED",IF(H19="","OPEN",IF(Q19="PASS",IF(Y19&lt;&gt;"","CLOSED","PASSING"),IF(Q19="FAIL","FAILING","COVERED"))))</f>
        <v/>
      </c>
      <c r="Y19" s="16" t="inlineStr"/>
      <c r="Z19" s="16" t="inlineStr"/>
      <c r="AA19" s="16" t="inlineStr"/>
      <c r="AB19" s="16" t="inlineStr">
        <is>
          <t>1.0.0</t>
        </is>
      </c>
      <c r="AC19" s="16" t="inlineStr">
        <is>
          <t>ZUBoard 1CG / Basys 3</t>
        </is>
      </c>
      <c r="AD19" s="16" t="inlineStr">
        <is>
          <t>BALU-RS-001 Rev 0.4</t>
        </is>
      </c>
    </row>
    <row r="20">
      <c r="A20" s="16" t="inlineStr">
        <is>
          <t>UART-IF-008</t>
        </is>
      </c>
      <c r="B20" s="16" t="inlineStr">
        <is>
          <t>IF</t>
        </is>
      </c>
      <c r="C20" s="16" t="inlineStr">
        <is>
          <t>functional</t>
        </is>
      </c>
      <c r="D20" s="16" t="inlineStr">
        <is>
          <t>The Buffered AXI-Lite UART shall return SLVERR (2'b10) on BRESP for write transactions to undefined address offsets.</t>
        </is>
      </c>
      <c r="E20" s="16" t="inlineStr">
        <is>
          <t>BALU-RS-001</t>
        </is>
      </c>
      <c r="F20" s="16" t="inlineStr">
        <is>
          <t>§6.1</t>
        </is>
      </c>
      <c r="G20" s="16" t="inlineStr">
        <is>
          <t>test</t>
        </is>
      </c>
      <c r="H20" s="16" t="inlineStr">
        <is>
          <t>COV-010</t>
        </is>
      </c>
      <c r="I20" s="16" t="inlineStr">
        <is>
          <t>AXI write to valid register offset (OKAY expected) and to undefined offset 0x30 (SLVERR expected); capture BRESP each time.</t>
        </is>
      </c>
      <c r="J20" s="16" t="inlineStr"/>
      <c r="K20" s="16" t="inlineStr">
        <is>
          <t>GENERATED</t>
        </is>
      </c>
      <c r="L20" s="16" t="inlineStr"/>
      <c r="M20" s="16" t="inlineStr"/>
      <c r="N20" s="16" t="inlineStr"/>
      <c r="O20" s="16" t="inlineStr">
        <is>
          <t>vhdl/buffered_axi_lite_uart.vhd</t>
        </is>
      </c>
      <c r="P20" s="16" t="inlineStr">
        <is>
          <t>RTL</t>
        </is>
      </c>
      <c r="Q20" s="16" t="inlineStr">
        <is>
          <t>NOT_RUN</t>
        </is>
      </c>
      <c r="R20" s="16" t="inlineStr"/>
      <c r="S20" s="16" t="inlineStr"/>
      <c r="T20" s="16" t="inlineStr"/>
      <c r="U20" s="16" t="inlineStr">
        <is>
          <t>NOT_RUN</t>
        </is>
      </c>
      <c r="V20" s="16" t="inlineStr"/>
      <c r="W20" s="16" t="inlineStr"/>
      <c r="X20" s="17">
        <f>IF(K20="WAIVED","WAIVED",IF(H20="","OPEN",IF(Q20="PASS",IF(Y20&lt;&gt;"","CLOSED","PASSING"),IF(Q20="FAIL","FAILING","COVERED"))))</f>
        <v/>
      </c>
      <c r="Y20" s="16" t="inlineStr"/>
      <c r="Z20" s="16" t="inlineStr"/>
      <c r="AA20" s="16" t="inlineStr"/>
      <c r="AB20" s="16" t="inlineStr">
        <is>
          <t>1.0.0</t>
        </is>
      </c>
      <c r="AC20" s="16" t="inlineStr">
        <is>
          <t>ZUBoard 1CG / Basys 3</t>
        </is>
      </c>
      <c r="AD20" s="16" t="inlineStr">
        <is>
          <t>BALU-RS-001 Rev 0.4</t>
        </is>
      </c>
    </row>
    <row r="21">
      <c r="A21" s="16" t="inlineStr">
        <is>
          <t>UART-IF-009</t>
        </is>
      </c>
      <c r="B21" s="16" t="inlineStr">
        <is>
          <t>IF</t>
        </is>
      </c>
      <c r="C21" s="16" t="inlineStr">
        <is>
          <t>functional</t>
        </is>
      </c>
      <c r="D21" s="16" t="inlineStr">
        <is>
          <t>The Buffered AXI-Lite UART shall return SLVERR (2'b10) on RRESP for read transactions to undefined address offsets.</t>
        </is>
      </c>
      <c r="E21" s="16" t="inlineStr">
        <is>
          <t>BALU-RS-001</t>
        </is>
      </c>
      <c r="F21" s="16" t="inlineStr">
        <is>
          <t>§6.1</t>
        </is>
      </c>
      <c r="G21" s="16" t="inlineStr">
        <is>
          <t>test</t>
        </is>
      </c>
      <c r="H21" s="16" t="inlineStr">
        <is>
          <t>COV-011</t>
        </is>
      </c>
      <c r="I21" s="16" t="inlineStr">
        <is>
          <t>AXI read from valid register offset (OKAY expected) and from undefined offset 0x30 (SLVERR expected); capture RRESP each time.</t>
        </is>
      </c>
      <c r="J21" s="16" t="inlineStr"/>
      <c r="K21" s="16" t="inlineStr">
        <is>
          <t>GENERATED</t>
        </is>
      </c>
      <c r="L21" s="16" t="inlineStr"/>
      <c r="M21" s="16" t="inlineStr"/>
      <c r="N21" s="16" t="inlineStr"/>
      <c r="O21" s="16" t="inlineStr">
        <is>
          <t>vhdl/buffered_axi_lite_uart.vhd</t>
        </is>
      </c>
      <c r="P21" s="16" t="inlineStr">
        <is>
          <t>RTL</t>
        </is>
      </c>
      <c r="Q21" s="16" t="inlineStr">
        <is>
          <t>NOT_RUN</t>
        </is>
      </c>
      <c r="R21" s="16" t="inlineStr"/>
      <c r="S21" s="16" t="inlineStr"/>
      <c r="T21" s="16" t="inlineStr"/>
      <c r="U21" s="16" t="inlineStr">
        <is>
          <t>NOT_RUN</t>
        </is>
      </c>
      <c r="V21" s="16" t="inlineStr"/>
      <c r="W21" s="16" t="inlineStr"/>
      <c r="X21" s="17">
        <f>IF(K21="WAIVED","WAIVED",IF(H21="","OPEN",IF(Q21="PASS",IF(Y21&lt;&gt;"","CLOSED","PASSING"),IF(Q21="FAIL","FAILING","COVERED"))))</f>
        <v/>
      </c>
      <c r="Y21" s="16" t="inlineStr"/>
      <c r="Z21" s="16" t="inlineStr"/>
      <c r="AA21" s="16" t="inlineStr"/>
      <c r="AB21" s="16" t="inlineStr">
        <is>
          <t>1.0.0</t>
        </is>
      </c>
      <c r="AC21" s="16" t="inlineStr">
        <is>
          <t>ZUBoard 1CG / Basys 3</t>
        </is>
      </c>
      <c r="AD21" s="16" t="inlineStr">
        <is>
          <t>BALU-RS-001 Rev 0.4</t>
        </is>
      </c>
    </row>
    <row r="22">
      <c r="A22" s="16" t="inlineStr">
        <is>
          <t>UART-IF-010</t>
        </is>
      </c>
      <c r="B22" s="16" t="inlineStr">
        <is>
          <t>IF</t>
        </is>
      </c>
      <c r="C22" s="16" t="inlineStr">
        <is>
          <t>functional</t>
        </is>
      </c>
      <c r="D22" s="16" t="inlineStr">
        <is>
          <t>The Buffered AXI-Lite UART shall silently ignore writes to read-only registers or reserved fields. Register content shall be unchanged following such a write.</t>
        </is>
      </c>
      <c r="E22" s="16" t="inlineStr">
        <is>
          <t>BALU-RS-001</t>
        </is>
      </c>
      <c r="F22" s="16" t="inlineStr">
        <is>
          <t>§6.1</t>
        </is>
      </c>
      <c r="G22" s="16" t="inlineStr">
        <is>
          <t>test</t>
        </is>
      </c>
      <c r="H22" s="16" t="inlineStr">
        <is>
          <t>COV-018</t>
        </is>
      </c>
      <c r="I22" s="16" t="inlineStr">
        <is>
          <t>Write to each read-only register (STATUS, FIFO_STATUS, INT_STATUS, INT_CLEAR, TX_DATA reads, RX_DATA writes); read back and verify state unchanged.</t>
        </is>
      </c>
      <c r="J22" s="16" t="inlineStr"/>
      <c r="K22" s="16" t="inlineStr">
        <is>
          <t>GENERATED</t>
        </is>
      </c>
      <c r="L22" s="16" t="inlineStr"/>
      <c r="M22" s="16" t="inlineStr"/>
      <c r="N22" s="16" t="inlineStr"/>
      <c r="O22" s="16" t="inlineStr">
        <is>
          <t>vhdl/buffered_axi_lite_uart.vhd</t>
        </is>
      </c>
      <c r="P22" s="16" t="inlineStr">
        <is>
          <t>RTL</t>
        </is>
      </c>
      <c r="Q22" s="16" t="inlineStr">
        <is>
          <t>NOT_RUN</t>
        </is>
      </c>
      <c r="R22" s="16" t="inlineStr"/>
      <c r="S22" s="16" t="inlineStr"/>
      <c r="T22" s="16" t="inlineStr"/>
      <c r="U22" s="16" t="inlineStr">
        <is>
          <t>NOT_RUN</t>
        </is>
      </c>
      <c r="V22" s="16" t="inlineStr"/>
      <c r="W22" s="16" t="inlineStr"/>
      <c r="X22" s="17">
        <f>IF(K22="WAIVED","WAIVED",IF(H22="","OPEN",IF(Q22="PASS",IF(Y22&lt;&gt;"","CLOSED","PASSING"),IF(Q22="FAIL","FAILING","COVERED"))))</f>
        <v/>
      </c>
      <c r="Y22" s="16" t="inlineStr"/>
      <c r="Z22" s="16" t="inlineStr"/>
      <c r="AA22" s="16" t="inlineStr"/>
      <c r="AB22" s="16" t="inlineStr">
        <is>
          <t>1.0.0</t>
        </is>
      </c>
      <c r="AC22" s="16" t="inlineStr">
        <is>
          <t>ZUBoard 1CG / Basys 3</t>
        </is>
      </c>
      <c r="AD22" s="16" t="inlineStr">
        <is>
          <t>BALU-RS-001 Rev 0.4</t>
        </is>
      </c>
    </row>
    <row r="23">
      <c r="A23" s="16" t="inlineStr">
        <is>
          <t>UART-IF-011</t>
        </is>
      </c>
      <c r="B23" s="16" t="inlineStr">
        <is>
          <t>IF</t>
        </is>
      </c>
      <c r="C23" s="16" t="inlineStr">
        <is>
          <t>functional</t>
        </is>
      </c>
      <c r="D23" s="16" t="inlineStr">
        <is>
          <t>The Buffered AXI-Lite UART shall allow AXI-Lite read and write transactions to different registers to proceed without interference.</t>
        </is>
      </c>
      <c r="E23" s="16" t="inlineStr">
        <is>
          <t>BALU-RS-001</t>
        </is>
      </c>
      <c r="F23" s="16" t="inlineStr">
        <is>
          <t>§6.1</t>
        </is>
      </c>
      <c r="G23" s="16" t="inlineStr">
        <is>
          <t>test</t>
        </is>
      </c>
      <c r="H23" s="16" t="inlineStr">
        <is>
          <t>COV-018</t>
        </is>
      </c>
      <c r="I23" s="16" t="inlineStr">
        <is>
          <t>Write to each read-only register (STATUS, FIFO_STATUS, INT_STATUS, INT_CLEAR, TX_DATA reads, RX_DATA writes); read back and verify state unchanged.</t>
        </is>
      </c>
      <c r="J23" s="16" t="inlineStr"/>
      <c r="K23" s="16" t="inlineStr">
        <is>
          <t>GENERATED</t>
        </is>
      </c>
      <c r="L23" s="16" t="inlineStr"/>
      <c r="M23" s="16" t="inlineStr"/>
      <c r="N23" s="16" t="inlineStr"/>
      <c r="O23" s="16" t="inlineStr">
        <is>
          <t>vhdl/buffered_axi_lite_uart.vhd</t>
        </is>
      </c>
      <c r="P23" s="16" t="inlineStr">
        <is>
          <t>RTL</t>
        </is>
      </c>
      <c r="Q23" s="16" t="inlineStr">
        <is>
          <t>NOT_RUN</t>
        </is>
      </c>
      <c r="R23" s="16" t="inlineStr"/>
      <c r="S23" s="16" t="inlineStr"/>
      <c r="T23" s="16" t="inlineStr"/>
      <c r="U23" s="16" t="inlineStr">
        <is>
          <t>NOT_RUN</t>
        </is>
      </c>
      <c r="V23" s="16" t="inlineStr"/>
      <c r="W23" s="16" t="inlineStr"/>
      <c r="X23" s="17">
        <f>IF(K23="WAIVED","WAIVED",IF(H23="","OPEN",IF(Q23="PASS",IF(Y23&lt;&gt;"","CLOSED","PASSING"),IF(Q23="FAIL","FAILING","COVERED"))))</f>
        <v/>
      </c>
      <c r="Y23" s="16" t="inlineStr"/>
      <c r="Z23" s="16" t="inlineStr"/>
      <c r="AA23" s="16" t="inlineStr"/>
      <c r="AB23" s="16" t="inlineStr">
        <is>
          <t>1.0.0</t>
        </is>
      </c>
      <c r="AC23" s="16" t="inlineStr">
        <is>
          <t>ZUBoard 1CG / Basys 3</t>
        </is>
      </c>
      <c r="AD23" s="16" t="inlineStr">
        <is>
          <t>BALU-RS-001 Rev 0.4</t>
        </is>
      </c>
    </row>
    <row r="24">
      <c r="A24" s="16" t="inlineStr">
        <is>
          <t>UART-IF-012</t>
        </is>
      </c>
      <c r="B24" s="16" t="inlineStr">
        <is>
          <t>IF</t>
        </is>
      </c>
      <c r="C24" s="16" t="inlineStr">
        <is>
          <t>functional</t>
        </is>
      </c>
      <c r="D24" s="16" t="inlineStr">
        <is>
          <t>The Buffered AXI-Lite UART shall provide a single-ended TX output and RX input conforming to standard UART signal conventions: idle high, active-low start bit.</t>
        </is>
      </c>
      <c r="E24" s="16" t="inlineStr">
        <is>
          <t>BALU-RS-001</t>
        </is>
      </c>
      <c r="F24" s="16" t="inlineStr">
        <is>
          <t>§6.2</t>
        </is>
      </c>
      <c r="G24" s="16" t="inlineStr">
        <is>
          <t>inspection</t>
        </is>
      </c>
      <c r="H24" s="16" t="inlineStr">
        <is>
          <t>COV-017</t>
        </is>
      </c>
      <c r="I24" s="16" t="inlineStr">
        <is>
          <t>Structural inspection: verify 8-bit data frames transmitted and received, AXI data width=32, address width sufficient, single-beat transactions only.</t>
        </is>
      </c>
      <c r="J24" s="16" t="inlineStr"/>
      <c r="K24" s="16" t="inlineStr">
        <is>
          <t>GENERATED</t>
        </is>
      </c>
      <c r="L24" s="16" t="inlineStr"/>
      <c r="M24" s="16" t="inlineStr"/>
      <c r="N24" s="16" t="inlineStr"/>
      <c r="O24" s="16" t="inlineStr">
        <is>
          <t>vhdl/buffered_axi_lite_uart.vhd</t>
        </is>
      </c>
      <c r="P24" s="16" t="inlineStr">
        <is>
          <t>RTL</t>
        </is>
      </c>
      <c r="Q24" s="16" t="inlineStr">
        <is>
          <t>NOT_RUN</t>
        </is>
      </c>
      <c r="R24" s="16" t="inlineStr"/>
      <c r="S24" s="16" t="inlineStr"/>
      <c r="T24" s="16" t="inlineStr"/>
      <c r="U24" s="16" t="inlineStr">
        <is>
          <t>NOT_RUN</t>
        </is>
      </c>
      <c r="V24" s="16" t="inlineStr"/>
      <c r="W24" s="16" t="inlineStr"/>
      <c r="X24" s="17">
        <f>IF(K24="WAIVED","WAIVED",IF(H24="","OPEN",IF(Q24="PASS",IF(Y24&lt;&gt;"","CLOSED","PASSING"),IF(Q24="FAIL","FAILING","COVERED"))))</f>
        <v/>
      </c>
      <c r="Y24" s="16" t="inlineStr"/>
      <c r="Z24" s="16" t="inlineStr"/>
      <c r="AA24" s="16" t="inlineStr"/>
      <c r="AB24" s="16" t="inlineStr">
        <is>
          <t>1.0.0</t>
        </is>
      </c>
      <c r="AC24" s="16" t="inlineStr">
        <is>
          <t>ZUBoard 1CG / Basys 3</t>
        </is>
      </c>
      <c r="AD24" s="16" t="inlineStr">
        <is>
          <t>BALU-RS-001 Rev 0.4</t>
        </is>
      </c>
    </row>
    <row r="25">
      <c r="A25" s="16" t="inlineStr">
        <is>
          <t>UART-IF-013</t>
        </is>
      </c>
      <c r="B25" s="16" t="inlineStr">
        <is>
          <t>IF</t>
        </is>
      </c>
      <c r="C25" s="16" t="inlineStr">
        <is>
          <t>functional</t>
        </is>
      </c>
      <c r="D25" s="16" t="inlineStr">
        <is>
          <t>The Buffered AXI-Lite UART shall support 8-bit data frames.</t>
        </is>
      </c>
      <c r="E25" s="16" t="inlineStr">
        <is>
          <t>BALU-RS-001</t>
        </is>
      </c>
      <c r="F25" s="16" t="inlineStr">
        <is>
          <t>§6.2</t>
        </is>
      </c>
      <c r="G25" s="16" t="inlineStr">
        <is>
          <t>test</t>
        </is>
      </c>
      <c r="H25" s="16" t="inlineStr">
        <is>
          <t>COV-017</t>
        </is>
      </c>
      <c r="I25" s="16" t="inlineStr">
        <is>
          <t>Structural inspection: verify 8-bit data frames transmitted and received, AXI data width=32, address width sufficient, single-beat transactions only.</t>
        </is>
      </c>
      <c r="J25" s="16" t="inlineStr"/>
      <c r="K25" s="16" t="inlineStr">
        <is>
          <t>GENERATED</t>
        </is>
      </c>
      <c r="L25" s="16" t="inlineStr"/>
      <c r="M25" s="16" t="inlineStr"/>
      <c r="N25" s="16" t="inlineStr"/>
      <c r="O25" s="16" t="inlineStr">
        <is>
          <t>vhdl/buffered_axi_lite_uart.vhd</t>
        </is>
      </c>
      <c r="P25" s="16" t="inlineStr">
        <is>
          <t>RTL</t>
        </is>
      </c>
      <c r="Q25" s="16" t="inlineStr">
        <is>
          <t>NOT_RUN</t>
        </is>
      </c>
      <c r="R25" s="16" t="inlineStr"/>
      <c r="S25" s="16" t="inlineStr"/>
      <c r="T25" s="16" t="inlineStr"/>
      <c r="U25" s="16" t="inlineStr">
        <is>
          <t>NOT_RUN</t>
        </is>
      </c>
      <c r="V25" s="16" t="inlineStr"/>
      <c r="W25" s="16" t="inlineStr"/>
      <c r="X25" s="17">
        <f>IF(K25="WAIVED","WAIVED",IF(H25="","OPEN",IF(Q25="PASS",IF(Y25&lt;&gt;"","CLOSED","PASSING"),IF(Q25="FAIL","FAILING","COVERED"))))</f>
        <v/>
      </c>
      <c r="Y25" s="16" t="inlineStr"/>
      <c r="Z25" s="16" t="inlineStr"/>
      <c r="AA25" s="16" t="inlineStr"/>
      <c r="AB25" s="16" t="inlineStr">
        <is>
          <t>1.0.0</t>
        </is>
      </c>
      <c r="AC25" s="16" t="inlineStr">
        <is>
          <t>ZUBoard 1CG / Basys 3</t>
        </is>
      </c>
      <c r="AD25" s="16" t="inlineStr">
        <is>
          <t>BALU-RS-001 Rev 0.4</t>
        </is>
      </c>
    </row>
    <row r="26">
      <c r="A26" s="16" t="inlineStr">
        <is>
          <t>UART-IF-014</t>
        </is>
      </c>
      <c r="B26" s="16" t="inlineStr">
        <is>
          <t>IF</t>
        </is>
      </c>
      <c r="C26" s="16" t="inlineStr">
        <is>
          <t>functional</t>
        </is>
      </c>
      <c r="D26" s="16" t="inlineStr">
        <is>
          <t>The Buffered AXI-Lite UART shall support a start bit of one bit duration preceding each data field.</t>
        </is>
      </c>
      <c r="E26" s="16" t="inlineStr">
        <is>
          <t>BALU-RS-001</t>
        </is>
      </c>
      <c r="F26" s="16" t="inlineStr">
        <is>
          <t>§6.2</t>
        </is>
      </c>
      <c r="G26" s="16" t="inlineStr">
        <is>
          <t>test</t>
        </is>
      </c>
      <c r="H26" s="16" t="inlineStr">
        <is>
          <t>COV-017</t>
        </is>
      </c>
      <c r="I26" s="16" t="inlineStr">
        <is>
          <t>Structural inspection: verify 8-bit data frames transmitted and received, AXI data width=32, address width sufficient, single-beat transactions only.</t>
        </is>
      </c>
      <c r="J26" s="16" t="inlineStr"/>
      <c r="K26" s="16" t="inlineStr">
        <is>
          <t>GENERATED</t>
        </is>
      </c>
      <c r="L26" s="16" t="inlineStr"/>
      <c r="M26" s="16" t="inlineStr"/>
      <c r="N26" s="16" t="inlineStr"/>
      <c r="O26" s="16" t="inlineStr">
        <is>
          <t>vhdl/buffered_axi_lite_uart.vhd</t>
        </is>
      </c>
      <c r="P26" s="16" t="inlineStr">
        <is>
          <t>RTL</t>
        </is>
      </c>
      <c r="Q26" s="16" t="inlineStr">
        <is>
          <t>NOT_RUN</t>
        </is>
      </c>
      <c r="R26" s="16" t="inlineStr"/>
      <c r="S26" s="16" t="inlineStr"/>
      <c r="T26" s="16" t="inlineStr"/>
      <c r="U26" s="16" t="inlineStr">
        <is>
          <t>NOT_RUN</t>
        </is>
      </c>
      <c r="V26" s="16" t="inlineStr"/>
      <c r="W26" s="16" t="inlineStr"/>
      <c r="X26" s="17">
        <f>IF(K26="WAIVED","WAIVED",IF(H26="","OPEN",IF(Q26="PASS",IF(Y26&lt;&gt;"","CLOSED","PASSING"),IF(Q26="FAIL","FAILING","COVERED"))))</f>
        <v/>
      </c>
      <c r="Y26" s="16" t="inlineStr"/>
      <c r="Z26" s="16" t="inlineStr"/>
      <c r="AA26" s="16" t="inlineStr"/>
      <c r="AB26" s="16" t="inlineStr">
        <is>
          <t>1.0.0</t>
        </is>
      </c>
      <c r="AC26" s="16" t="inlineStr">
        <is>
          <t>ZUBoard 1CG / Basys 3</t>
        </is>
      </c>
      <c r="AD26" s="16" t="inlineStr">
        <is>
          <t>BALU-RS-001 Rev 0.4</t>
        </is>
      </c>
    </row>
    <row r="27">
      <c r="A27" s="16" t="inlineStr">
        <is>
          <t>UART-EN-001</t>
        </is>
      </c>
      <c r="B27" s="16" t="inlineStr">
        <is>
          <t>EN</t>
        </is>
      </c>
      <c r="C27" s="16" t="inlineStr">
        <is>
          <t>functional</t>
        </is>
      </c>
      <c r="D27" s="16" t="inlineStr">
        <is>
          <t>The Buffered AXI-Lite UART shall treat UART_EN as the master enable. When UART_EN is deasserted all UART transmit and receive activity shall cease and both TX and RX paths shall be held inactive.</t>
        </is>
      </c>
      <c r="E27" s="16" t="inlineStr">
        <is>
          <t>BALU-RS-001</t>
        </is>
      </c>
      <c r="F27" s="16" t="inlineStr">
        <is>
          <t>§7.1</t>
        </is>
      </c>
      <c r="G27" s="16" t="inlineStr">
        <is>
          <t>test</t>
        </is>
      </c>
      <c r="H27" s="16" t="inlineStr">
        <is>
          <t>COV-016</t>
        </is>
      </c>
      <c r="I27" s="16" t="inlineStr">
        <is>
          <t>Deassert UART_EN and verify TX/RX halt; then independently gate TX_EN and RX_EN with UART_EN=1 to verify path isolation; set LOOP_EN and verify loopback active.</t>
        </is>
      </c>
      <c r="J27" s="16" t="inlineStr"/>
      <c r="K27" s="16" t="inlineStr">
        <is>
          <t>GENERATED</t>
        </is>
      </c>
      <c r="L27" s="16" t="inlineStr"/>
      <c r="M27" s="16" t="inlineStr"/>
      <c r="N27" s="16" t="inlineStr"/>
      <c r="O27" s="16" t="inlineStr">
        <is>
          <t>vhdl/buffered_axi_lite_uart.vhd</t>
        </is>
      </c>
      <c r="P27" s="16" t="inlineStr">
        <is>
          <t>RTL</t>
        </is>
      </c>
      <c r="Q27" s="16" t="inlineStr">
        <is>
          <t>NOT_RUN</t>
        </is>
      </c>
      <c r="R27" s="16" t="inlineStr"/>
      <c r="S27" s="16" t="inlineStr"/>
      <c r="T27" s="16" t="inlineStr"/>
      <c r="U27" s="16" t="inlineStr">
        <is>
          <t>NOT_RUN</t>
        </is>
      </c>
      <c r="V27" s="16" t="inlineStr"/>
      <c r="W27" s="16" t="inlineStr"/>
      <c r="X27" s="17">
        <f>IF(K27="WAIVED","WAIVED",IF(H27="","OPEN",IF(Q27="PASS",IF(Y27&lt;&gt;"","CLOSED","PASSING"),IF(Q27="FAIL","FAILING","COVERED"))))</f>
        <v/>
      </c>
      <c r="Y27" s="16" t="inlineStr"/>
      <c r="Z27" s="16" t="inlineStr"/>
      <c r="AA27" s="16" t="inlineStr"/>
      <c r="AB27" s="16" t="inlineStr">
        <is>
          <t>1.0.0</t>
        </is>
      </c>
      <c r="AC27" s="16" t="inlineStr">
        <is>
          <t>ZUBoard 1CG / Basys 3</t>
        </is>
      </c>
      <c r="AD27" s="16" t="inlineStr">
        <is>
          <t>BALU-RS-001 Rev 0.4</t>
        </is>
      </c>
    </row>
    <row r="28">
      <c r="A28" s="16" t="inlineStr">
        <is>
          <t>UART-EN-002</t>
        </is>
      </c>
      <c r="B28" s="16" t="inlineStr">
        <is>
          <t>EN</t>
        </is>
      </c>
      <c r="C28" s="16" t="inlineStr">
        <is>
          <t>functional</t>
        </is>
      </c>
      <c r="D28" s="16" t="inlineStr">
        <is>
          <t>The Buffered AXI-Lite UART shall enable the transmit path independently via TX_EN. Deasserting TX_EN shall not affect RX path operation provided UART_EN remains asserted.</t>
        </is>
      </c>
      <c r="E28" s="16" t="inlineStr">
        <is>
          <t>BALU-RS-001</t>
        </is>
      </c>
      <c r="F28" s="16" t="inlineStr">
        <is>
          <t>§7.1</t>
        </is>
      </c>
      <c r="G28" s="16" t="inlineStr">
        <is>
          <t>test</t>
        </is>
      </c>
      <c r="H28" s="16" t="inlineStr">
        <is>
          <t>COV-016</t>
        </is>
      </c>
      <c r="I28" s="16" t="inlineStr">
        <is>
          <t>Deassert UART_EN and verify TX/RX halt; then independently gate TX_EN and RX_EN with UART_EN=1 to verify path isolation; set LOOP_EN and verify loopback active.</t>
        </is>
      </c>
      <c r="J28" s="16" t="inlineStr"/>
      <c r="K28" s="16" t="inlineStr">
        <is>
          <t>GENERATED</t>
        </is>
      </c>
      <c r="L28" s="16" t="inlineStr"/>
      <c r="M28" s="16" t="inlineStr"/>
      <c r="N28" s="16" t="inlineStr"/>
      <c r="O28" s="16" t="inlineStr">
        <is>
          <t>vhdl/buffered_axi_lite_uart.vhd</t>
        </is>
      </c>
      <c r="P28" s="16" t="inlineStr">
        <is>
          <t>RTL</t>
        </is>
      </c>
      <c r="Q28" s="16" t="inlineStr">
        <is>
          <t>NOT_RUN</t>
        </is>
      </c>
      <c r="R28" s="16" t="inlineStr"/>
      <c r="S28" s="16" t="inlineStr"/>
      <c r="T28" s="16" t="inlineStr"/>
      <c r="U28" s="16" t="inlineStr">
        <is>
          <t>NOT_RUN</t>
        </is>
      </c>
      <c r="V28" s="16" t="inlineStr"/>
      <c r="W28" s="16" t="inlineStr"/>
      <c r="X28" s="17">
        <f>IF(K28="WAIVED","WAIVED",IF(H28="","OPEN",IF(Q28="PASS",IF(Y28&lt;&gt;"","CLOSED","PASSING"),IF(Q28="FAIL","FAILING","COVERED"))))</f>
        <v/>
      </c>
      <c r="Y28" s="16" t="inlineStr"/>
      <c r="Z28" s="16" t="inlineStr"/>
      <c r="AA28" s="16" t="inlineStr"/>
      <c r="AB28" s="16" t="inlineStr">
        <is>
          <t>1.0.0</t>
        </is>
      </c>
      <c r="AC28" s="16" t="inlineStr">
        <is>
          <t>ZUBoard 1CG / Basys 3</t>
        </is>
      </c>
      <c r="AD28" s="16" t="inlineStr">
        <is>
          <t>BALU-RS-001 Rev 0.4</t>
        </is>
      </c>
    </row>
    <row r="29">
      <c r="A29" s="16" t="inlineStr">
        <is>
          <t>UART-EN-003</t>
        </is>
      </c>
      <c r="B29" s="16" t="inlineStr">
        <is>
          <t>EN</t>
        </is>
      </c>
      <c r="C29" s="16" t="inlineStr">
        <is>
          <t>functional</t>
        </is>
      </c>
      <c r="D29" s="16" t="inlineStr">
        <is>
          <t>The Buffered AXI-Lite UART shall enable the receive path independently via RX_EN. Deasserting RX_EN shall not affect TX path operation provided UART_EN remains asserted.</t>
        </is>
      </c>
      <c r="E29" s="16" t="inlineStr">
        <is>
          <t>BALU-RS-001</t>
        </is>
      </c>
      <c r="F29" s="16" t="inlineStr">
        <is>
          <t>§7.1</t>
        </is>
      </c>
      <c r="G29" s="16" t="inlineStr">
        <is>
          <t>test</t>
        </is>
      </c>
      <c r="H29" s="16" t="inlineStr">
        <is>
          <t>COV-016</t>
        </is>
      </c>
      <c r="I29" s="16" t="inlineStr">
        <is>
          <t>Deassert UART_EN and verify TX/RX halt; then independently gate TX_EN and RX_EN with UART_EN=1 to verify path isolation; set LOOP_EN and verify loopback active.</t>
        </is>
      </c>
      <c r="J29" s="16" t="inlineStr"/>
      <c r="K29" s="16" t="inlineStr">
        <is>
          <t>GENERATED</t>
        </is>
      </c>
      <c r="L29" s="16" t="inlineStr"/>
      <c r="M29" s="16" t="inlineStr"/>
      <c r="N29" s="16" t="inlineStr"/>
      <c r="O29" s="16" t="inlineStr">
        <is>
          <t>vhdl/buffered_axi_lite_uart.vhd</t>
        </is>
      </c>
      <c r="P29" s="16" t="inlineStr">
        <is>
          <t>RTL</t>
        </is>
      </c>
      <c r="Q29" s="16" t="inlineStr">
        <is>
          <t>NOT_RUN</t>
        </is>
      </c>
      <c r="R29" s="16" t="inlineStr"/>
      <c r="S29" s="16" t="inlineStr"/>
      <c r="T29" s="16" t="inlineStr"/>
      <c r="U29" s="16" t="inlineStr">
        <is>
          <t>NOT_RUN</t>
        </is>
      </c>
      <c r="V29" s="16" t="inlineStr"/>
      <c r="W29" s="16" t="inlineStr"/>
      <c r="X29" s="17">
        <f>IF(K29="WAIVED","WAIVED",IF(H29="","OPEN",IF(Q29="PASS",IF(Y29&lt;&gt;"","CLOSED","PASSING"),IF(Q29="FAIL","FAILING","COVERED"))))</f>
        <v/>
      </c>
      <c r="Y29" s="16" t="inlineStr"/>
      <c r="Z29" s="16" t="inlineStr"/>
      <c r="AA29" s="16" t="inlineStr"/>
      <c r="AB29" s="16" t="inlineStr">
        <is>
          <t>1.0.0</t>
        </is>
      </c>
      <c r="AC29" s="16" t="inlineStr">
        <is>
          <t>ZUBoard 1CG / Basys 3</t>
        </is>
      </c>
      <c r="AD29" s="16" t="inlineStr">
        <is>
          <t>BALU-RS-001 Rev 0.4</t>
        </is>
      </c>
    </row>
    <row r="30">
      <c r="A30" s="16" t="inlineStr">
        <is>
          <t>UART-EN-004</t>
        </is>
      </c>
      <c r="B30" s="16" t="inlineStr">
        <is>
          <t>EN</t>
        </is>
      </c>
      <c r="C30" s="16" t="inlineStr">
        <is>
          <t>functional</t>
        </is>
      </c>
      <c r="D30" s="16" t="inlineStr">
        <is>
          <t>The Buffered AXI-Lite UART shall give TX_EN and RX_EN no effect when UART_EN is deasserted.</t>
        </is>
      </c>
      <c r="E30" s="16" t="inlineStr">
        <is>
          <t>BALU-RS-001</t>
        </is>
      </c>
      <c r="F30" s="16" t="inlineStr">
        <is>
          <t>§7.1</t>
        </is>
      </c>
      <c r="G30" s="16" t="inlineStr">
        <is>
          <t>test</t>
        </is>
      </c>
      <c r="H30" s="16" t="inlineStr">
        <is>
          <t>COV-016</t>
        </is>
      </c>
      <c r="I30" s="16" t="inlineStr">
        <is>
          <t>Deassert UART_EN and verify TX/RX halt; then independently gate TX_EN and RX_EN with UART_EN=1 to verify path isolation; set LOOP_EN and verify loopback active.</t>
        </is>
      </c>
      <c r="J30" s="16" t="inlineStr"/>
      <c r="K30" s="16" t="inlineStr">
        <is>
          <t>GENERATED</t>
        </is>
      </c>
      <c r="L30" s="16" t="inlineStr"/>
      <c r="M30" s="16" t="inlineStr"/>
      <c r="N30" s="16" t="inlineStr"/>
      <c r="O30" s="16" t="inlineStr">
        <is>
          <t>vhdl/buffered_axi_lite_uart.vhd</t>
        </is>
      </c>
      <c r="P30" s="16" t="inlineStr">
        <is>
          <t>RTL</t>
        </is>
      </c>
      <c r="Q30" s="16" t="inlineStr">
        <is>
          <t>NOT_RUN</t>
        </is>
      </c>
      <c r="R30" s="16" t="inlineStr"/>
      <c r="S30" s="16" t="inlineStr"/>
      <c r="T30" s="16" t="inlineStr"/>
      <c r="U30" s="16" t="inlineStr">
        <is>
          <t>NOT_RUN</t>
        </is>
      </c>
      <c r="V30" s="16" t="inlineStr"/>
      <c r="W30" s="16" t="inlineStr"/>
      <c r="X30" s="17">
        <f>IF(K30="WAIVED","WAIVED",IF(H30="","OPEN",IF(Q30="PASS",IF(Y30&lt;&gt;"","CLOSED","PASSING"),IF(Q30="FAIL","FAILING","COVERED"))))</f>
        <v/>
      </c>
      <c r="Y30" s="16" t="inlineStr"/>
      <c r="Z30" s="16" t="inlineStr"/>
      <c r="AA30" s="16" t="inlineStr"/>
      <c r="AB30" s="16" t="inlineStr">
        <is>
          <t>1.0.0</t>
        </is>
      </c>
      <c r="AC30" s="16" t="inlineStr">
        <is>
          <t>ZUBoard 1CG / Basys 3</t>
        </is>
      </c>
      <c r="AD30" s="16" t="inlineStr">
        <is>
          <t>BALU-RS-001 Rev 0.4</t>
        </is>
      </c>
    </row>
    <row r="31">
      <c r="A31" s="16" t="inlineStr">
        <is>
          <t>UART-EN-005</t>
        </is>
      </c>
      <c r="B31" s="16" t="inlineStr">
        <is>
          <t>EN</t>
        </is>
      </c>
      <c r="C31" s="16" t="inlineStr">
        <is>
          <t>functional</t>
        </is>
      </c>
      <c r="D31" s="16" t="inlineStr">
        <is>
          <t>The Buffered AXI-Lite UART shall connect the TX data path to the RX data path internally when LOOP_EN is asserted, driving the TX output normally while ignoring the external RX pin.</t>
        </is>
      </c>
      <c r="E31" s="16" t="inlineStr">
        <is>
          <t>BALU-RS-001</t>
        </is>
      </c>
      <c r="F31" s="16" t="inlineStr">
        <is>
          <t>§7.1</t>
        </is>
      </c>
      <c r="G31" s="16" t="inlineStr">
        <is>
          <t>test</t>
        </is>
      </c>
      <c r="H31" s="16" t="inlineStr">
        <is>
          <t>COV-016</t>
        </is>
      </c>
      <c r="I31" s="16" t="inlineStr">
        <is>
          <t>Deassert UART_EN and verify TX/RX halt; then independently gate TX_EN and RX_EN with UART_EN=1 to verify path isolation; set LOOP_EN and verify loopback active.</t>
        </is>
      </c>
      <c r="J31" s="16" t="inlineStr"/>
      <c r="K31" s="16" t="inlineStr">
        <is>
          <t>GENERATED</t>
        </is>
      </c>
      <c r="L31" s="16" t="inlineStr"/>
      <c r="M31" s="16" t="inlineStr"/>
      <c r="N31" s="16" t="inlineStr"/>
      <c r="O31" s="16" t="inlineStr">
        <is>
          <t>vhdl/buffered_axi_lite_uart.vhd</t>
        </is>
      </c>
      <c r="P31" s="16" t="inlineStr">
        <is>
          <t>RTL</t>
        </is>
      </c>
      <c r="Q31" s="16" t="inlineStr">
        <is>
          <t>NOT_RUN</t>
        </is>
      </c>
      <c r="R31" s="16" t="inlineStr"/>
      <c r="S31" s="16" t="inlineStr"/>
      <c r="T31" s="16" t="inlineStr"/>
      <c r="U31" s="16" t="inlineStr">
        <is>
          <t>NOT_RUN</t>
        </is>
      </c>
      <c r="V31" s="16" t="inlineStr"/>
      <c r="W31" s="16" t="inlineStr"/>
      <c r="X31" s="17">
        <f>IF(K31="WAIVED","WAIVED",IF(H31="","OPEN",IF(Q31="PASS",IF(Y31&lt;&gt;"","CLOSED","PASSING"),IF(Q31="FAIL","FAILING","COVERED"))))</f>
        <v/>
      </c>
      <c r="Y31" s="16" t="inlineStr"/>
      <c r="Z31" s="16" t="inlineStr"/>
      <c r="AA31" s="16" t="inlineStr"/>
      <c r="AB31" s="16" t="inlineStr">
        <is>
          <t>1.0.0</t>
        </is>
      </c>
      <c r="AC31" s="16" t="inlineStr">
        <is>
          <t>ZUBoard 1CG / Basys 3</t>
        </is>
      </c>
      <c r="AD31" s="16" t="inlineStr">
        <is>
          <t>BALU-RS-001 Rev 0.4</t>
        </is>
      </c>
    </row>
    <row r="32">
      <c r="A32" s="16" t="inlineStr">
        <is>
          <t>UART-EN-006</t>
        </is>
      </c>
      <c r="B32" s="16" t="inlineStr">
        <is>
          <t>EN</t>
        </is>
      </c>
      <c r="C32" s="16" t="inlineStr">
        <is>
          <t>functional</t>
        </is>
      </c>
      <c r="D32" s="16" t="inlineStr">
        <is>
          <t>The Buffered AXI-Lite UART shall apply LOOP_EN only while UART_EN is asserted.</t>
        </is>
      </c>
      <c r="E32" s="16" t="inlineStr">
        <is>
          <t>BALU-RS-001</t>
        </is>
      </c>
      <c r="F32" s="16" t="inlineStr">
        <is>
          <t>§7.1</t>
        </is>
      </c>
      <c r="G32" s="16" t="inlineStr">
        <is>
          <t>test</t>
        </is>
      </c>
      <c r="H32" s="16" t="inlineStr">
        <is>
          <t>COV-016</t>
        </is>
      </c>
      <c r="I32" s="16" t="inlineStr">
        <is>
          <t>Deassert UART_EN and verify TX/RX halt; then independently gate TX_EN and RX_EN with UART_EN=1 to verify path isolation; set LOOP_EN and verify loopback active.</t>
        </is>
      </c>
      <c r="J32" s="16" t="inlineStr"/>
      <c r="K32" s="16" t="inlineStr">
        <is>
          <t>GENERATED</t>
        </is>
      </c>
      <c r="L32" s="16" t="inlineStr"/>
      <c r="M32" s="16" t="inlineStr"/>
      <c r="N32" s="16" t="inlineStr"/>
      <c r="O32" s="16" t="inlineStr">
        <is>
          <t>vhdl/buffered_axi_lite_uart.vhd</t>
        </is>
      </c>
      <c r="P32" s="16" t="inlineStr">
        <is>
          <t>RTL</t>
        </is>
      </c>
      <c r="Q32" s="16" t="inlineStr">
        <is>
          <t>NOT_RUN</t>
        </is>
      </c>
      <c r="R32" s="16" t="inlineStr"/>
      <c r="S32" s="16" t="inlineStr"/>
      <c r="T32" s="16" t="inlineStr"/>
      <c r="U32" s="16" t="inlineStr">
        <is>
          <t>NOT_RUN</t>
        </is>
      </c>
      <c r="V32" s="16" t="inlineStr"/>
      <c r="W32" s="16" t="inlineStr"/>
      <c r="X32" s="17">
        <f>IF(K32="WAIVED","WAIVED",IF(H32="","OPEN",IF(Q32="PASS",IF(Y32&lt;&gt;"","CLOSED","PASSING"),IF(Q32="FAIL","FAILING","COVERED"))))</f>
        <v/>
      </c>
      <c r="Y32" s="16" t="inlineStr"/>
      <c r="Z32" s="16" t="inlineStr"/>
      <c r="AA32" s="16" t="inlineStr"/>
      <c r="AB32" s="16" t="inlineStr">
        <is>
          <t>1.0.0</t>
        </is>
      </c>
      <c r="AC32" s="16" t="inlineStr">
        <is>
          <t>ZUBoard 1CG / Basys 3</t>
        </is>
      </c>
      <c r="AD32" s="16" t="inlineStr">
        <is>
          <t>BALU-RS-001 Rev 0.4</t>
        </is>
      </c>
    </row>
    <row r="33">
      <c r="A33" s="16" t="inlineStr">
        <is>
          <t>UART-BR-001</t>
        </is>
      </c>
      <c r="B33" s="16" t="inlineStr">
        <is>
          <t>BR</t>
        </is>
      </c>
      <c r="C33" s="16" t="inlineStr">
        <is>
          <t>functional</t>
        </is>
      </c>
      <c r="D33" s="16" t="inlineStr">
        <is>
          <t>The Buffered AXI-Lite UART shall implement a 32-bit NCO accumulator for baud rate generation. On every system clock cycle the value in BAUD_TUNING shall be added to the accumulator and the carry-out shall generate one baud clock pulse.</t>
        </is>
      </c>
      <c r="E33" s="16" t="inlineStr">
        <is>
          <t>BALU-RS-001</t>
        </is>
      </c>
      <c r="F33" s="16" t="inlineStr">
        <is>
          <t>§7.2</t>
        </is>
      </c>
      <c r="G33" s="16" t="inlineStr">
        <is>
          <t>test</t>
        </is>
      </c>
      <c r="H33" s="16" t="inlineStr">
        <is>
          <t>COV-001</t>
        </is>
      </c>
      <c r="I33" s="16" t="inlineStr">
        <is>
          <t>NCO tuning word sweep at 12 values from minimum (0x00000001) to maximum (0xFFFFFFFF) including all standard baud rates.</t>
        </is>
      </c>
      <c r="J33" s="16" t="inlineStr"/>
      <c r="K33" s="16" t="inlineStr">
        <is>
          <t>GENERATED</t>
        </is>
      </c>
      <c r="L33" s="16" t="inlineStr"/>
      <c r="M33" s="16" t="inlineStr"/>
      <c r="N33" s="16" t="inlineStr"/>
      <c r="O33" s="16" t="inlineStr">
        <is>
          <t>vhdl/buffered_axi_lite_uart.vhd</t>
        </is>
      </c>
      <c r="P33" s="16" t="inlineStr">
        <is>
          <t>RTL</t>
        </is>
      </c>
      <c r="Q33" s="16" t="inlineStr">
        <is>
          <t>NOT_RUN</t>
        </is>
      </c>
      <c r="R33" s="16" t="inlineStr"/>
      <c r="S33" s="16" t="inlineStr"/>
      <c r="T33" s="16" t="inlineStr"/>
      <c r="U33" s="16" t="inlineStr">
        <is>
          <t>NOT_RUN</t>
        </is>
      </c>
      <c r="V33" s="16" t="inlineStr"/>
      <c r="W33" s="16" t="inlineStr"/>
      <c r="X33" s="17">
        <f>IF(K33="WAIVED","WAIVED",IF(H33="","OPEN",IF(Q33="PASS",IF(Y33&lt;&gt;"","CLOSED","PASSING"),IF(Q33="FAIL","FAILING","COVERED"))))</f>
        <v/>
      </c>
      <c r="Y33" s="16" t="inlineStr"/>
      <c r="Z33" s="16" t="inlineStr"/>
      <c r="AA33" s="16" t="inlineStr"/>
      <c r="AB33" s="16" t="inlineStr">
        <is>
          <t>1.0.0</t>
        </is>
      </c>
      <c r="AC33" s="16" t="inlineStr">
        <is>
          <t>ZUBoard 1CG / Basys 3</t>
        </is>
      </c>
      <c r="AD33" s="16" t="inlineStr">
        <is>
          <t>BALU-RS-001 Rev 0.4</t>
        </is>
      </c>
    </row>
    <row r="34">
      <c r="A34" s="16" t="inlineStr">
        <is>
          <t>UART-BR-002</t>
        </is>
      </c>
      <c r="B34" s="16" t="inlineStr">
        <is>
          <t>BR</t>
        </is>
      </c>
      <c r="C34" s="16" t="inlineStr">
        <is>
          <t>functional</t>
        </is>
      </c>
      <c r="D34" s="16" t="inlineStr">
        <is>
          <t>The Buffered AXI-Lite UART shall produce a baud rate equal to (BAUD_TUNING × F_clk) / 2³² where F_clk is the system clock frequency.</t>
        </is>
      </c>
      <c r="E34" s="16" t="inlineStr">
        <is>
          <t>BALU-RS-001</t>
        </is>
      </c>
      <c r="F34" s="16" t="inlineStr">
        <is>
          <t>§7.2</t>
        </is>
      </c>
      <c r="G34" s="16" t="inlineStr">
        <is>
          <t>analysis</t>
        </is>
      </c>
      <c r="H34" s="16" t="inlineStr">
        <is>
          <t>COV-001</t>
        </is>
      </c>
      <c r="I34" s="16" t="inlineStr">
        <is>
          <t>NCO tuning word sweep at 12 values from minimum (0x00000001) to maximum (0xFFFFFFFF) including all standard baud rates.</t>
        </is>
      </c>
      <c r="J34" s="16" t="inlineStr"/>
      <c r="K34" s="16" t="inlineStr">
        <is>
          <t>GENERATED</t>
        </is>
      </c>
      <c r="L34" s="16" t="inlineStr"/>
      <c r="M34" s="16" t="inlineStr"/>
      <c r="N34" s="16" t="inlineStr"/>
      <c r="O34" s="16" t="inlineStr">
        <is>
          <t>vhdl/buffered_axi_lite_uart.vhd</t>
        </is>
      </c>
      <c r="P34" s="16" t="inlineStr">
        <is>
          <t>RTL</t>
        </is>
      </c>
      <c r="Q34" s="16" t="inlineStr">
        <is>
          <t>NOT_RUN</t>
        </is>
      </c>
      <c r="R34" s="16" t="inlineStr"/>
      <c r="S34" s="16" t="inlineStr"/>
      <c r="T34" s="16" t="inlineStr"/>
      <c r="U34" s="16" t="inlineStr">
        <is>
          <t>NOT_RUN</t>
        </is>
      </c>
      <c r="V34" s="16" t="inlineStr"/>
      <c r="W34" s="16" t="inlineStr"/>
      <c r="X34" s="17">
        <f>IF(K34="WAIVED","WAIVED",IF(H34="","OPEN",IF(Q34="PASS",IF(Y34&lt;&gt;"","CLOSED","PASSING"),IF(Q34="FAIL","FAILING","COVERED"))))</f>
        <v/>
      </c>
      <c r="Y34" s="16" t="inlineStr"/>
      <c r="Z34" s="16" t="inlineStr"/>
      <c r="AA34" s="16" t="inlineStr"/>
      <c r="AB34" s="16" t="inlineStr">
        <is>
          <t>1.0.0</t>
        </is>
      </c>
      <c r="AC34" s="16" t="inlineStr">
        <is>
          <t>ZUBoard 1CG / Basys 3</t>
        </is>
      </c>
      <c r="AD34" s="16" t="inlineStr">
        <is>
          <t>BALU-RS-001 Rev 0.4</t>
        </is>
      </c>
    </row>
    <row r="35">
      <c r="A35" s="16" t="inlineStr">
        <is>
          <t>UART-BR-003</t>
        </is>
      </c>
      <c r="B35" s="16" t="inlineStr">
        <is>
          <t>BR</t>
        </is>
      </c>
      <c r="C35" s="16" t="inlineStr">
        <is>
          <t>functional</t>
        </is>
      </c>
      <c r="D35" s="16" t="inlineStr">
        <is>
          <t>The Buffered AXI-Lite UART shall reset BAUD_TUNING to C_BAUD_TUNING_RESET = round(G_DEFAULT_BAUD × 2³² / G_CLK_FREQ_HZ). At default values of G_DEFAULT_BAUD = 115,200 and G_CLK_FREQ_HZ = 100,000,000 this yields 0x004FA6D5 with error less than 0.0001%.</t>
        </is>
      </c>
      <c r="E35" s="16" t="inlineStr">
        <is>
          <t>BALU-RS-001</t>
        </is>
      </c>
      <c r="F35" s="16" t="inlineStr">
        <is>
          <t>§7.2</t>
        </is>
      </c>
      <c r="G35" s="16" t="inlineStr">
        <is>
          <t>test</t>
        </is>
      </c>
      <c r="H35" s="16" t="inlineStr">
        <is>
          <t>COV-001</t>
        </is>
      </c>
      <c r="I35" s="16" t="inlineStr">
        <is>
          <t>NCO tuning word sweep at 12 values from minimum (0x00000001) to maximum (0xFFFFFFFF) including all standard baud rates.</t>
        </is>
      </c>
      <c r="J35" s="16" t="inlineStr"/>
      <c r="K35" s="16" t="inlineStr">
        <is>
          <t>GENERATED</t>
        </is>
      </c>
      <c r="L35" s="16" t="inlineStr"/>
      <c r="M35" s="16" t="inlineStr"/>
      <c r="N35" s="16" t="inlineStr"/>
      <c r="O35" s="16" t="inlineStr">
        <is>
          <t>vhdl/buffered_axi_lite_uart.vhd</t>
        </is>
      </c>
      <c r="P35" s="16" t="inlineStr">
        <is>
          <t>RTL</t>
        </is>
      </c>
      <c r="Q35" s="16" t="inlineStr">
        <is>
          <t>NOT_RUN</t>
        </is>
      </c>
      <c r="R35" s="16" t="inlineStr"/>
      <c r="S35" s="16" t="inlineStr"/>
      <c r="T35" s="16" t="inlineStr"/>
      <c r="U35" s="16" t="inlineStr">
        <is>
          <t>NOT_RUN</t>
        </is>
      </c>
      <c r="V35" s="16" t="inlineStr"/>
      <c r="W35" s="16" t="inlineStr"/>
      <c r="X35" s="17">
        <f>IF(K35="WAIVED","WAIVED",IF(H35="","OPEN",IF(Q35="PASS",IF(Y35&lt;&gt;"","CLOSED","PASSING"),IF(Q35="FAIL","FAILING","COVERED"))))</f>
        <v/>
      </c>
      <c r="Y35" s="16" t="inlineStr"/>
      <c r="Z35" s="16" t="inlineStr"/>
      <c r="AA35" s="16" t="inlineStr"/>
      <c r="AB35" s="16" t="inlineStr">
        <is>
          <t>1.0.0</t>
        </is>
      </c>
      <c r="AC35" s="16" t="inlineStr">
        <is>
          <t>ZUBoard 1CG / Basys 3</t>
        </is>
      </c>
      <c r="AD35" s="16" t="inlineStr">
        <is>
          <t>BALU-RS-001 Rev 0.4</t>
        </is>
      </c>
    </row>
    <row r="36">
      <c r="A36" s="16" t="inlineStr">
        <is>
          <t>UART-BR-004</t>
        </is>
      </c>
      <c r="B36" s="16" t="inlineStr">
        <is>
          <t>BR</t>
        </is>
      </c>
      <c r="C36" s="16" t="inlineStr">
        <is>
          <t>functional</t>
        </is>
      </c>
      <c r="D36" s="16" t="inlineStr">
        <is>
          <t>The Buffered AXI-Lite UART shall silently ignore writes to BAUD_TUNING while UART_EN is asserted, leaving the accumulator tuning word unchanged.</t>
        </is>
      </c>
      <c r="E36" s="16" t="inlineStr">
        <is>
          <t>BALU-RS-001</t>
        </is>
      </c>
      <c r="F36" s="16" t="inlineStr">
        <is>
          <t>§7.2</t>
        </is>
      </c>
      <c r="G36" s="16" t="inlineStr">
        <is>
          <t>test</t>
        </is>
      </c>
      <c r="H36" s="16" t="inlineStr"/>
      <c r="I36" s="16" t="inlineStr"/>
      <c r="J36" s="16" t="inlineStr"/>
      <c r="K36" s="16" t="inlineStr">
        <is>
          <t>GENERATED</t>
        </is>
      </c>
      <c r="L36" s="16" t="inlineStr"/>
      <c r="M36" s="16" t="inlineStr"/>
      <c r="N36" s="16" t="inlineStr"/>
      <c r="O36" s="16" t="inlineStr">
        <is>
          <t>vhdl/buffered_axi_lite_uart.vhd</t>
        </is>
      </c>
      <c r="P36" s="16" t="inlineStr">
        <is>
          <t>RTL</t>
        </is>
      </c>
      <c r="Q36" s="16" t="inlineStr">
        <is>
          <t>NOT_RUN</t>
        </is>
      </c>
      <c r="R36" s="16" t="inlineStr"/>
      <c r="S36" s="16" t="inlineStr"/>
      <c r="T36" s="16" t="inlineStr"/>
      <c r="U36" s="16" t="inlineStr">
        <is>
          <t>NOT_RUN</t>
        </is>
      </c>
      <c r="V36" s="16" t="inlineStr"/>
      <c r="W36" s="16" t="inlineStr"/>
      <c r="X36" s="17">
        <f>IF(K36="WAIVED","WAIVED",IF(H36="","OPEN",IF(Q36="PASS",IF(Y36&lt;&gt;"","CLOSED","PASSING"),IF(Q36="FAIL","FAILING","COVERED"))))</f>
        <v/>
      </c>
      <c r="Y36" s="16" t="inlineStr"/>
      <c r="Z36" s="16" t="inlineStr"/>
      <c r="AA36" s="16" t="inlineStr"/>
      <c r="AB36" s="16" t="inlineStr">
        <is>
          <t>1.0.0</t>
        </is>
      </c>
      <c r="AC36" s="16" t="inlineStr">
        <is>
          <t>ZUBoard 1CG / Basys 3</t>
        </is>
      </c>
      <c r="AD36" s="16" t="inlineStr">
        <is>
          <t>BALU-RS-001 Rev 0.4</t>
        </is>
      </c>
    </row>
    <row r="37">
      <c r="A37" s="16" t="inlineStr">
        <is>
          <t>UART-BR-005</t>
        </is>
      </c>
      <c r="B37" s="16" t="inlineStr">
        <is>
          <t>BR</t>
        </is>
      </c>
      <c r="C37" s="16" t="inlineStr">
        <is>
          <t>functional</t>
        </is>
      </c>
      <c r="D37" s="16" t="inlineStr">
        <is>
          <t>The Buffered AXI-Lite UART shall disable baud clock generation when BAUD_TUNING = 0x00000000. No baud clock pulses shall be produced and no UART framing activity shall occur.</t>
        </is>
      </c>
      <c r="E37" s="16" t="inlineStr">
        <is>
          <t>BALU-RS-001</t>
        </is>
      </c>
      <c r="F37" s="16" t="inlineStr">
        <is>
          <t>§7.2</t>
        </is>
      </c>
      <c r="G37" s="16" t="inlineStr">
        <is>
          <t>test</t>
        </is>
      </c>
      <c r="H37" s="16" t="inlineStr">
        <is>
          <t>COV-001</t>
        </is>
      </c>
      <c r="I37" s="16" t="inlineStr">
        <is>
          <t>NCO tuning word sweep at 12 values from minimum (0x00000001) to maximum (0xFFFFFFFF) including all standard baud rates.</t>
        </is>
      </c>
      <c r="J37" s="16" t="inlineStr"/>
      <c r="K37" s="16" t="inlineStr">
        <is>
          <t>GENERATED</t>
        </is>
      </c>
      <c r="L37" s="16" t="inlineStr"/>
      <c r="M37" s="16" t="inlineStr"/>
      <c r="N37" s="16" t="inlineStr"/>
      <c r="O37" s="16" t="inlineStr">
        <is>
          <t>vhdl/buffered_axi_lite_uart.vhd</t>
        </is>
      </c>
      <c r="P37" s="16" t="inlineStr">
        <is>
          <t>RTL</t>
        </is>
      </c>
      <c r="Q37" s="16" t="inlineStr">
        <is>
          <t>NOT_RUN</t>
        </is>
      </c>
      <c r="R37" s="16" t="inlineStr"/>
      <c r="S37" s="16" t="inlineStr"/>
      <c r="T37" s="16" t="inlineStr"/>
      <c r="U37" s="16" t="inlineStr">
        <is>
          <t>NOT_RUN</t>
        </is>
      </c>
      <c r="V37" s="16" t="inlineStr"/>
      <c r="W37" s="16" t="inlineStr"/>
      <c r="X37" s="17">
        <f>IF(K37="WAIVED","WAIVED",IF(H37="","OPEN",IF(Q37="PASS",IF(Y37&lt;&gt;"","CLOSED","PASSING"),IF(Q37="FAIL","FAILING","COVERED"))))</f>
        <v/>
      </c>
      <c r="Y37" s="16" t="inlineStr"/>
      <c r="Z37" s="16" t="inlineStr"/>
      <c r="AA37" s="16" t="inlineStr"/>
      <c r="AB37" s="16" t="inlineStr">
        <is>
          <t>1.0.0</t>
        </is>
      </c>
      <c r="AC37" s="16" t="inlineStr">
        <is>
          <t>ZUBoard 1CG / Basys 3</t>
        </is>
      </c>
      <c r="AD37" s="16" t="inlineStr">
        <is>
          <t>BALU-RS-001 Rev 0.4</t>
        </is>
      </c>
    </row>
    <row r="38">
      <c r="A38" s="16" t="inlineStr">
        <is>
          <t>UART-BR-006</t>
        </is>
      </c>
      <c r="B38" s="16" t="inlineStr">
        <is>
          <t>BR</t>
        </is>
      </c>
      <c r="C38" s="16" t="inlineStr">
        <is>
          <t>functional</t>
        </is>
      </c>
      <c r="D38" s="16" t="inlineStr">
        <is>
          <t>The Buffered AXI-Lite UART shall produce the minimum supported baud rate without undefined behavior when BAUD_TUNING = 0x00000001.</t>
        </is>
      </c>
      <c r="E38" s="16" t="inlineStr">
        <is>
          <t>BALU-RS-001</t>
        </is>
      </c>
      <c r="F38" s="16" t="inlineStr">
        <is>
          <t>§7.2</t>
        </is>
      </c>
      <c r="G38" s="16" t="inlineStr">
        <is>
          <t>test</t>
        </is>
      </c>
      <c r="H38" s="16" t="inlineStr">
        <is>
          <t>COV-001</t>
        </is>
      </c>
      <c r="I38" s="16" t="inlineStr">
        <is>
          <t>NCO tuning word sweep at 12 values from minimum (0x00000001) to maximum (0xFFFFFFFF) including all standard baud rates.</t>
        </is>
      </c>
      <c r="J38" s="16" t="inlineStr"/>
      <c r="K38" s="16" t="inlineStr">
        <is>
          <t>GENERATED</t>
        </is>
      </c>
      <c r="L38" s="16" t="inlineStr"/>
      <c r="M38" s="16" t="inlineStr"/>
      <c r="N38" s="16" t="inlineStr"/>
      <c r="O38" s="16" t="inlineStr">
        <is>
          <t>vhdl/buffered_axi_lite_uart.vhd</t>
        </is>
      </c>
      <c r="P38" s="16" t="inlineStr">
        <is>
          <t>RTL</t>
        </is>
      </c>
      <c r="Q38" s="16" t="inlineStr">
        <is>
          <t>NOT_RUN</t>
        </is>
      </c>
      <c r="R38" s="16" t="inlineStr"/>
      <c r="S38" s="16" t="inlineStr"/>
      <c r="T38" s="16" t="inlineStr"/>
      <c r="U38" s="16" t="inlineStr">
        <is>
          <t>NOT_RUN</t>
        </is>
      </c>
      <c r="V38" s="16" t="inlineStr"/>
      <c r="W38" s="16" t="inlineStr"/>
      <c r="X38" s="17">
        <f>IF(K38="WAIVED","WAIVED",IF(H38="","OPEN",IF(Q38="PASS",IF(Y38&lt;&gt;"","CLOSED","PASSING"),IF(Q38="FAIL","FAILING","COVERED"))))</f>
        <v/>
      </c>
      <c r="Y38" s="16" t="inlineStr"/>
      <c r="Z38" s="16" t="inlineStr"/>
      <c r="AA38" s="16" t="inlineStr"/>
      <c r="AB38" s="16" t="inlineStr">
        <is>
          <t>1.0.0</t>
        </is>
      </c>
      <c r="AC38" s="16" t="inlineStr">
        <is>
          <t>ZUBoard 1CG / Basys 3</t>
        </is>
      </c>
      <c r="AD38" s="16" t="inlineStr">
        <is>
          <t>BALU-RS-001 Rev 0.4</t>
        </is>
      </c>
    </row>
    <row r="39">
      <c r="A39" s="16" t="inlineStr">
        <is>
          <t>UART-FF-001</t>
        </is>
      </c>
      <c r="B39" s="16" t="inlineStr">
        <is>
          <t>FF</t>
        </is>
      </c>
      <c r="C39" s="16" t="inlineStr">
        <is>
          <t>functional</t>
        </is>
      </c>
      <c r="D39" s="16" t="inlineStr">
        <is>
          <t>The Buffered AXI-Lite UART shall support 8 data bits per frame.</t>
        </is>
      </c>
      <c r="E39" s="16" t="inlineStr">
        <is>
          <t>BALU-RS-001</t>
        </is>
      </c>
      <c r="F39" s="16" t="inlineStr">
        <is>
          <t>§7.3</t>
        </is>
      </c>
      <c r="G39" s="16" t="inlineStr">
        <is>
          <t>test</t>
        </is>
      </c>
      <c r="H39" s="16" t="inlineStr">
        <is>
          <t>COV-017</t>
        </is>
      </c>
      <c r="I39" s="16" t="inlineStr">
        <is>
          <t>Structural inspection: verify 8-bit data frames transmitted and received, AXI data width=32, address width sufficient, single-beat transactions only.</t>
        </is>
      </c>
      <c r="J39" s="16" t="inlineStr"/>
      <c r="K39" s="16" t="inlineStr">
        <is>
          <t>GENERATED</t>
        </is>
      </c>
      <c r="L39" s="16" t="inlineStr"/>
      <c r="M39" s="16" t="inlineStr"/>
      <c r="N39" s="16" t="inlineStr"/>
      <c r="O39" s="16" t="inlineStr">
        <is>
          <t>vhdl/buffered_axi_lite_uart.vhd</t>
        </is>
      </c>
      <c r="P39" s="16" t="inlineStr">
        <is>
          <t>RTL</t>
        </is>
      </c>
      <c r="Q39" s="16" t="inlineStr">
        <is>
          <t>NOT_RUN</t>
        </is>
      </c>
      <c r="R39" s="16" t="inlineStr"/>
      <c r="S39" s="16" t="inlineStr"/>
      <c r="T39" s="16" t="inlineStr"/>
      <c r="U39" s="16" t="inlineStr">
        <is>
          <t>NOT_RUN</t>
        </is>
      </c>
      <c r="V39" s="16" t="inlineStr"/>
      <c r="W39" s="16" t="inlineStr"/>
      <c r="X39" s="17">
        <f>IF(K39="WAIVED","WAIVED",IF(H39="","OPEN",IF(Q39="PASS",IF(Y39&lt;&gt;"","CLOSED","PASSING"),IF(Q39="FAIL","FAILING","COVERED"))))</f>
        <v/>
      </c>
      <c r="Y39" s="16" t="inlineStr"/>
      <c r="Z39" s="16" t="inlineStr"/>
      <c r="AA39" s="16" t="inlineStr"/>
      <c r="AB39" s="16" t="inlineStr">
        <is>
          <t>1.0.0</t>
        </is>
      </c>
      <c r="AC39" s="16" t="inlineStr">
        <is>
          <t>ZUBoard 1CG / Basys 3</t>
        </is>
      </c>
      <c r="AD39" s="16" t="inlineStr">
        <is>
          <t>BALU-RS-001 Rev 0.4</t>
        </is>
      </c>
    </row>
    <row r="40">
      <c r="A40" s="16" t="inlineStr">
        <is>
          <t>UART-FF-002</t>
        </is>
      </c>
      <c r="B40" s="16" t="inlineStr">
        <is>
          <t>FF</t>
        </is>
      </c>
      <c r="C40" s="16" t="inlineStr">
        <is>
          <t>functional</t>
        </is>
      </c>
      <c r="D40" s="16" t="inlineStr">
        <is>
          <t>The Buffered AXI-Lite UART shall append one stop bit per transmitted frame when STOP_BITS = 0.</t>
        </is>
      </c>
      <c r="E40" s="16" t="inlineStr">
        <is>
          <t>BALU-RS-001</t>
        </is>
      </c>
      <c r="F40" s="16" t="inlineStr">
        <is>
          <t>§7.3</t>
        </is>
      </c>
      <c r="G40" s="16" t="inlineStr">
        <is>
          <t>test</t>
        </is>
      </c>
      <c r="H40" s="16" t="inlineStr">
        <is>
          <t>COV-003</t>
        </is>
      </c>
      <c r="I40" s="16" t="inlineStr">
        <is>
          <t>Both stop bit configurations (1 and 2 stop bits) exercised in LOOP_EN loopback with frame integrity check.</t>
        </is>
      </c>
      <c r="J40" s="16" t="inlineStr"/>
      <c r="K40" s="16" t="inlineStr">
        <is>
          <t>GENERATED</t>
        </is>
      </c>
      <c r="L40" s="16" t="inlineStr"/>
      <c r="M40" s="16" t="inlineStr"/>
      <c r="N40" s="16" t="inlineStr"/>
      <c r="O40" s="16" t="inlineStr">
        <is>
          <t>vhdl/buffered_axi_lite_uart.vhd</t>
        </is>
      </c>
      <c r="P40" s="16" t="inlineStr">
        <is>
          <t>RTL</t>
        </is>
      </c>
      <c r="Q40" s="16" t="inlineStr">
        <is>
          <t>NOT_RUN</t>
        </is>
      </c>
      <c r="R40" s="16" t="inlineStr"/>
      <c r="S40" s="16" t="inlineStr"/>
      <c r="T40" s="16" t="inlineStr"/>
      <c r="U40" s="16" t="inlineStr">
        <is>
          <t>NOT_RUN</t>
        </is>
      </c>
      <c r="V40" s="16" t="inlineStr"/>
      <c r="W40" s="16" t="inlineStr"/>
      <c r="X40" s="17">
        <f>IF(K40="WAIVED","WAIVED",IF(H40="","OPEN",IF(Q40="PASS",IF(Y40&lt;&gt;"","CLOSED","PASSING"),IF(Q40="FAIL","FAILING","COVERED"))))</f>
        <v/>
      </c>
      <c r="Y40" s="16" t="inlineStr"/>
      <c r="Z40" s="16" t="inlineStr"/>
      <c r="AA40" s="16" t="inlineStr"/>
      <c r="AB40" s="16" t="inlineStr">
        <is>
          <t>1.0.0</t>
        </is>
      </c>
      <c r="AC40" s="16" t="inlineStr">
        <is>
          <t>ZUBoard 1CG / Basys 3</t>
        </is>
      </c>
      <c r="AD40" s="16" t="inlineStr">
        <is>
          <t>BALU-RS-001 Rev 0.4</t>
        </is>
      </c>
    </row>
    <row r="41">
      <c r="A41" s="16" t="inlineStr">
        <is>
          <t>UART-FF-003</t>
        </is>
      </c>
      <c r="B41" s="16" t="inlineStr">
        <is>
          <t>FF</t>
        </is>
      </c>
      <c r="C41" s="16" t="inlineStr">
        <is>
          <t>functional</t>
        </is>
      </c>
      <c r="D41" s="16" t="inlineStr">
        <is>
          <t>The Buffered AXI-Lite UART shall append two stop bits per transmitted frame when STOP_BITS = 1.</t>
        </is>
      </c>
      <c r="E41" s="16" t="inlineStr">
        <is>
          <t>BALU-RS-001</t>
        </is>
      </c>
      <c r="F41" s="16" t="inlineStr">
        <is>
          <t>§7.3</t>
        </is>
      </c>
      <c r="G41" s="16" t="inlineStr">
        <is>
          <t>test</t>
        </is>
      </c>
      <c r="H41" s="16" t="inlineStr">
        <is>
          <t>COV-003</t>
        </is>
      </c>
      <c r="I41" s="16" t="inlineStr">
        <is>
          <t>Both stop bit configurations (1 and 2 stop bits) exercised in LOOP_EN loopback with frame integrity check.</t>
        </is>
      </c>
      <c r="J41" s="16" t="inlineStr"/>
      <c r="K41" s="16" t="inlineStr">
        <is>
          <t>GENERATED</t>
        </is>
      </c>
      <c r="L41" s="16" t="inlineStr"/>
      <c r="M41" s="16" t="inlineStr"/>
      <c r="N41" s="16" t="inlineStr"/>
      <c r="O41" s="16" t="inlineStr">
        <is>
          <t>vhdl/buffered_axi_lite_uart.vhd</t>
        </is>
      </c>
      <c r="P41" s="16" t="inlineStr">
        <is>
          <t>RTL</t>
        </is>
      </c>
      <c r="Q41" s="16" t="inlineStr">
        <is>
          <t>NOT_RUN</t>
        </is>
      </c>
      <c r="R41" s="16" t="inlineStr"/>
      <c r="S41" s="16" t="inlineStr"/>
      <c r="T41" s="16" t="inlineStr"/>
      <c r="U41" s="16" t="inlineStr">
        <is>
          <t>NOT_RUN</t>
        </is>
      </c>
      <c r="V41" s="16" t="inlineStr"/>
      <c r="W41" s="16" t="inlineStr"/>
      <c r="X41" s="17">
        <f>IF(K41="WAIVED","WAIVED",IF(H41="","OPEN",IF(Q41="PASS",IF(Y41&lt;&gt;"","CLOSED","PASSING"),IF(Q41="FAIL","FAILING","COVERED"))))</f>
        <v/>
      </c>
      <c r="Y41" s="16" t="inlineStr"/>
      <c r="Z41" s="16" t="inlineStr"/>
      <c r="AA41" s="16" t="inlineStr"/>
      <c r="AB41" s="16" t="inlineStr">
        <is>
          <t>1.0.0</t>
        </is>
      </c>
      <c r="AC41" s="16" t="inlineStr">
        <is>
          <t>ZUBoard 1CG / Basys 3</t>
        </is>
      </c>
      <c r="AD41" s="16" t="inlineStr">
        <is>
          <t>BALU-RS-001 Rev 0.4</t>
        </is>
      </c>
    </row>
    <row r="42">
      <c r="A42" s="16" t="inlineStr">
        <is>
          <t>UART-FF-004</t>
        </is>
      </c>
      <c r="B42" s="16" t="inlineStr">
        <is>
          <t>FF</t>
        </is>
      </c>
      <c r="C42" s="16" t="inlineStr">
        <is>
          <t>functional</t>
        </is>
      </c>
      <c r="D42" s="16" t="inlineStr">
        <is>
          <t>The Buffered AXI-Lite UART shall accept frames with one stop bit on receive regardless of the STOP_BITS setting.</t>
        </is>
      </c>
      <c r="E42" s="16" t="inlineStr">
        <is>
          <t>BALU-RS-001</t>
        </is>
      </c>
      <c r="F42" s="16" t="inlineStr">
        <is>
          <t>§7.3</t>
        </is>
      </c>
      <c r="G42" s="16" t="inlineStr">
        <is>
          <t>test</t>
        </is>
      </c>
      <c r="H42" s="16" t="inlineStr">
        <is>
          <t>COV-003</t>
        </is>
      </c>
      <c r="I42" s="16" t="inlineStr">
        <is>
          <t>Both stop bit configurations (1 and 2 stop bits) exercised in LOOP_EN loopback with frame integrity check.</t>
        </is>
      </c>
      <c r="J42" s="16" t="inlineStr"/>
      <c r="K42" s="16" t="inlineStr">
        <is>
          <t>GENERATED</t>
        </is>
      </c>
      <c r="L42" s="16" t="inlineStr"/>
      <c r="M42" s="16" t="inlineStr"/>
      <c r="N42" s="16" t="inlineStr"/>
      <c r="O42" s="16" t="inlineStr">
        <is>
          <t>vhdl/buffered_axi_lite_uart.vhd</t>
        </is>
      </c>
      <c r="P42" s="16" t="inlineStr">
        <is>
          <t>RTL</t>
        </is>
      </c>
      <c r="Q42" s="16" t="inlineStr">
        <is>
          <t>NOT_RUN</t>
        </is>
      </c>
      <c r="R42" s="16" t="inlineStr"/>
      <c r="S42" s="16" t="inlineStr"/>
      <c r="T42" s="16" t="inlineStr"/>
      <c r="U42" s="16" t="inlineStr">
        <is>
          <t>NOT_RUN</t>
        </is>
      </c>
      <c r="V42" s="16" t="inlineStr"/>
      <c r="W42" s="16" t="inlineStr"/>
      <c r="X42" s="17">
        <f>IF(K42="WAIVED","WAIVED",IF(H42="","OPEN",IF(Q42="PASS",IF(Y42&lt;&gt;"","CLOSED","PASSING"),IF(Q42="FAIL","FAILING","COVERED"))))</f>
        <v/>
      </c>
      <c r="Y42" s="16" t="inlineStr"/>
      <c r="Z42" s="16" t="inlineStr"/>
      <c r="AA42" s="16" t="inlineStr"/>
      <c r="AB42" s="16" t="inlineStr">
        <is>
          <t>1.0.0</t>
        </is>
      </c>
      <c r="AC42" s="16" t="inlineStr">
        <is>
          <t>ZUBoard 1CG / Basys 3</t>
        </is>
      </c>
      <c r="AD42" s="16" t="inlineStr">
        <is>
          <t>BALU-RS-001 Rev 0.4</t>
        </is>
      </c>
    </row>
    <row r="43">
      <c r="A43" s="16" t="inlineStr">
        <is>
          <t>UART-FF-005</t>
        </is>
      </c>
      <c r="B43" s="16" t="inlineStr">
        <is>
          <t>FF</t>
        </is>
      </c>
      <c r="C43" s="16" t="inlineStr">
        <is>
          <t>functional</t>
        </is>
      </c>
      <c r="D43" s="16" t="inlineStr">
        <is>
          <t>The Buffered AXI-Lite UART shall transmit and accept frames with no parity bit when PARITY = 2'b00.</t>
        </is>
      </c>
      <c r="E43" s="16" t="inlineStr">
        <is>
          <t>BALU-RS-001</t>
        </is>
      </c>
      <c r="F43" s="16" t="inlineStr">
        <is>
          <t>§7.3</t>
        </is>
      </c>
      <c r="G43" s="16" t="inlineStr">
        <is>
          <t>test</t>
        </is>
      </c>
      <c r="H43" s="16" t="inlineStr">
        <is>
          <t>COV-002</t>
        </is>
      </c>
      <c r="I43" s="16" t="inlineStr">
        <is>
          <t>All four parity modes (00/01/10/11) exercised independently in LOOP_EN loopback; inject parity error bit for odd and even modes.</t>
        </is>
      </c>
      <c r="J43" s="16" t="inlineStr"/>
      <c r="K43" s="16" t="inlineStr">
        <is>
          <t>GENERATED</t>
        </is>
      </c>
      <c r="L43" s="16" t="inlineStr"/>
      <c r="M43" s="16" t="inlineStr"/>
      <c r="N43" s="16" t="inlineStr"/>
      <c r="O43" s="16" t="inlineStr">
        <is>
          <t>vhdl/buffered_axi_lite_uart.vhd</t>
        </is>
      </c>
      <c r="P43" s="16" t="inlineStr">
        <is>
          <t>RTL</t>
        </is>
      </c>
      <c r="Q43" s="16" t="inlineStr">
        <is>
          <t>NOT_RUN</t>
        </is>
      </c>
      <c r="R43" s="16" t="inlineStr"/>
      <c r="S43" s="16" t="inlineStr"/>
      <c r="T43" s="16" t="inlineStr"/>
      <c r="U43" s="16" t="inlineStr">
        <is>
          <t>NOT_RUN</t>
        </is>
      </c>
      <c r="V43" s="16" t="inlineStr"/>
      <c r="W43" s="16" t="inlineStr"/>
      <c r="X43" s="17">
        <f>IF(K43="WAIVED","WAIVED",IF(H43="","OPEN",IF(Q43="PASS",IF(Y43&lt;&gt;"","CLOSED","PASSING"),IF(Q43="FAIL","FAILING","COVERED"))))</f>
        <v/>
      </c>
      <c r="Y43" s="16" t="inlineStr"/>
      <c r="Z43" s="16" t="inlineStr"/>
      <c r="AA43" s="16" t="inlineStr"/>
      <c r="AB43" s="16" t="inlineStr">
        <is>
          <t>1.0.0</t>
        </is>
      </c>
      <c r="AC43" s="16" t="inlineStr">
        <is>
          <t>ZUBoard 1CG / Basys 3</t>
        </is>
      </c>
      <c r="AD43" s="16" t="inlineStr">
        <is>
          <t>BALU-RS-001 Rev 0.4</t>
        </is>
      </c>
    </row>
    <row r="44">
      <c r="A44" s="16" t="inlineStr">
        <is>
          <t>UART-FF-006</t>
        </is>
      </c>
      <c r="B44" s="16" t="inlineStr">
        <is>
          <t>FF</t>
        </is>
      </c>
      <c r="C44" s="16" t="inlineStr">
        <is>
          <t>functional</t>
        </is>
      </c>
      <c r="D44" s="16" t="inlineStr">
        <is>
          <t>The Buffered AXI-Lite UART shall generate and verify odd parity on every frame when PARITY = 2'b01. A parity mismatch shall set PARITY_ERR in STATUS and INT_STATUS.</t>
        </is>
      </c>
      <c r="E44" s="16" t="inlineStr">
        <is>
          <t>BALU-RS-001</t>
        </is>
      </c>
      <c r="F44" s="16" t="inlineStr">
        <is>
          <t>§7.3</t>
        </is>
      </c>
      <c r="G44" s="16" t="inlineStr">
        <is>
          <t>test</t>
        </is>
      </c>
      <c r="H44" s="16" t="inlineStr">
        <is>
          <t>COV-002</t>
        </is>
      </c>
      <c r="I44" s="16" t="inlineStr">
        <is>
          <t>All four parity modes (00/01/10/11) exercised independently in LOOP_EN loopback; inject parity error bit for odd and even modes.</t>
        </is>
      </c>
      <c r="J44" s="16" t="inlineStr"/>
      <c r="K44" s="16" t="inlineStr">
        <is>
          <t>GENERATED</t>
        </is>
      </c>
      <c r="L44" s="16" t="inlineStr"/>
      <c r="M44" s="16" t="inlineStr"/>
      <c r="N44" s="16" t="inlineStr"/>
      <c r="O44" s="16" t="inlineStr">
        <is>
          <t>vhdl/buffered_axi_lite_uart.vhd</t>
        </is>
      </c>
      <c r="P44" s="16" t="inlineStr">
        <is>
          <t>RTL</t>
        </is>
      </c>
      <c r="Q44" s="16" t="inlineStr">
        <is>
          <t>NOT_RUN</t>
        </is>
      </c>
      <c r="R44" s="16" t="inlineStr"/>
      <c r="S44" s="16" t="inlineStr"/>
      <c r="T44" s="16" t="inlineStr"/>
      <c r="U44" s="16" t="inlineStr">
        <is>
          <t>NOT_RUN</t>
        </is>
      </c>
      <c r="V44" s="16" t="inlineStr"/>
      <c r="W44" s="16" t="inlineStr"/>
      <c r="X44" s="17">
        <f>IF(K44="WAIVED","WAIVED",IF(H44="","OPEN",IF(Q44="PASS",IF(Y44&lt;&gt;"","CLOSED","PASSING"),IF(Q44="FAIL","FAILING","COVERED"))))</f>
        <v/>
      </c>
      <c r="Y44" s="16" t="inlineStr"/>
      <c r="Z44" s="16" t="inlineStr"/>
      <c r="AA44" s="16" t="inlineStr"/>
      <c r="AB44" s="16" t="inlineStr">
        <is>
          <t>1.0.0</t>
        </is>
      </c>
      <c r="AC44" s="16" t="inlineStr">
        <is>
          <t>ZUBoard 1CG / Basys 3</t>
        </is>
      </c>
      <c r="AD44" s="16" t="inlineStr">
        <is>
          <t>BALU-RS-001 Rev 0.4</t>
        </is>
      </c>
    </row>
    <row r="45">
      <c r="A45" s="16" t="inlineStr">
        <is>
          <t>UART-FF-007</t>
        </is>
      </c>
      <c r="B45" s="16" t="inlineStr">
        <is>
          <t>FF</t>
        </is>
      </c>
      <c r="C45" s="16" t="inlineStr">
        <is>
          <t>functional</t>
        </is>
      </c>
      <c r="D45" s="16" t="inlineStr">
        <is>
          <t>The Buffered AXI-Lite UART shall generate and verify even parity on every frame when PARITY = 2'b10. A parity mismatch shall set PARITY_ERR in STATUS and INT_STATUS.</t>
        </is>
      </c>
      <c r="E45" s="16" t="inlineStr">
        <is>
          <t>BALU-RS-001</t>
        </is>
      </c>
      <c r="F45" s="16" t="inlineStr">
        <is>
          <t>§7.3</t>
        </is>
      </c>
      <c r="G45" s="16" t="inlineStr">
        <is>
          <t>test</t>
        </is>
      </c>
      <c r="H45" s="16" t="inlineStr">
        <is>
          <t>COV-002</t>
        </is>
      </c>
      <c r="I45" s="16" t="inlineStr">
        <is>
          <t>All four parity modes (00/01/10/11) exercised independently in LOOP_EN loopback; inject parity error bit for odd and even modes.</t>
        </is>
      </c>
      <c r="J45" s="16" t="inlineStr"/>
      <c r="K45" s="16" t="inlineStr">
        <is>
          <t>GENERATED</t>
        </is>
      </c>
      <c r="L45" s="16" t="inlineStr"/>
      <c r="M45" s="16" t="inlineStr"/>
      <c r="N45" s="16" t="inlineStr"/>
      <c r="O45" s="16" t="inlineStr">
        <is>
          <t>vhdl/buffered_axi_lite_uart.vhd</t>
        </is>
      </c>
      <c r="P45" s="16" t="inlineStr">
        <is>
          <t>RTL</t>
        </is>
      </c>
      <c r="Q45" s="16" t="inlineStr">
        <is>
          <t>NOT_RUN</t>
        </is>
      </c>
      <c r="R45" s="16" t="inlineStr"/>
      <c r="S45" s="16" t="inlineStr"/>
      <c r="T45" s="16" t="inlineStr"/>
      <c r="U45" s="16" t="inlineStr">
        <is>
          <t>NOT_RUN</t>
        </is>
      </c>
      <c r="V45" s="16" t="inlineStr"/>
      <c r="W45" s="16" t="inlineStr"/>
      <c r="X45" s="17">
        <f>IF(K45="WAIVED","WAIVED",IF(H45="","OPEN",IF(Q45="PASS",IF(Y45&lt;&gt;"","CLOSED","PASSING"),IF(Q45="FAIL","FAILING","COVERED"))))</f>
        <v/>
      </c>
      <c r="Y45" s="16" t="inlineStr"/>
      <c r="Z45" s="16" t="inlineStr"/>
      <c r="AA45" s="16" t="inlineStr"/>
      <c r="AB45" s="16" t="inlineStr">
        <is>
          <t>1.0.0</t>
        </is>
      </c>
      <c r="AC45" s="16" t="inlineStr">
        <is>
          <t>ZUBoard 1CG / Basys 3</t>
        </is>
      </c>
      <c r="AD45" s="16" t="inlineStr">
        <is>
          <t>BALU-RS-001 Rev 0.4</t>
        </is>
      </c>
    </row>
    <row r="46">
      <c r="A46" s="16" t="inlineStr">
        <is>
          <t>UART-FF-008</t>
        </is>
      </c>
      <c r="B46" s="16" t="inlineStr">
        <is>
          <t>FF</t>
        </is>
      </c>
      <c r="C46" s="16" t="inlineStr">
        <is>
          <t>functional</t>
        </is>
      </c>
      <c r="D46" s="16" t="inlineStr">
        <is>
          <t>The Buffered AXI-Lite UART shall assert the parity bit in every transmitted frame when PARITY = 2'b11 (mark parity). On receive, a mark parity bit of logic 0 shall set PARITY_ERR in STATUS and INT_STATUS, as this indicates a line error or sender misconfiguration. This check is retained as a diagnostic in noise-sensitive environments where silent corruption is unacceptable.</t>
        </is>
      </c>
      <c r="E46" s="16" t="inlineStr">
        <is>
          <t>BALU-RS-001</t>
        </is>
      </c>
      <c r="F46" s="16" t="inlineStr">
        <is>
          <t>§7.3</t>
        </is>
      </c>
      <c r="G46" s="16" t="inlineStr">
        <is>
          <t>test</t>
        </is>
      </c>
      <c r="H46" s="16" t="inlineStr">
        <is>
          <t>COV-002</t>
        </is>
      </c>
      <c r="I46" s="16" t="inlineStr">
        <is>
          <t>All four parity modes (00/01/10/11) exercised independently in LOOP_EN loopback; inject parity error bit for odd and even modes.</t>
        </is>
      </c>
      <c r="J46" s="16" t="inlineStr"/>
      <c r="K46" s="16" t="inlineStr">
        <is>
          <t>GENERATED</t>
        </is>
      </c>
      <c r="L46" s="16" t="inlineStr"/>
      <c r="M46" s="16" t="inlineStr"/>
      <c r="N46" s="16" t="inlineStr"/>
      <c r="O46" s="16" t="inlineStr">
        <is>
          <t>vhdl/buffered_axi_lite_uart.vhd</t>
        </is>
      </c>
      <c r="P46" s="16" t="inlineStr">
        <is>
          <t>RTL</t>
        </is>
      </c>
      <c r="Q46" s="16" t="inlineStr">
        <is>
          <t>NOT_RUN</t>
        </is>
      </c>
      <c r="R46" s="16" t="inlineStr"/>
      <c r="S46" s="16" t="inlineStr"/>
      <c r="T46" s="16" t="inlineStr"/>
      <c r="U46" s="16" t="inlineStr">
        <is>
          <t>NOT_RUN</t>
        </is>
      </c>
      <c r="V46" s="16" t="inlineStr"/>
      <c r="W46" s="16" t="inlineStr"/>
      <c r="X46" s="17">
        <f>IF(K46="WAIVED","WAIVED",IF(H46="","OPEN",IF(Q46="PASS",IF(Y46&lt;&gt;"","CLOSED","PASSING"),IF(Q46="FAIL","FAILING","COVERED"))))</f>
        <v/>
      </c>
      <c r="Y46" s="16" t="inlineStr"/>
      <c r="Z46" s="16" t="inlineStr"/>
      <c r="AA46" s="16" t="inlineStr"/>
      <c r="AB46" s="16" t="inlineStr">
        <is>
          <t>1.0.0</t>
        </is>
      </c>
      <c r="AC46" s="16" t="inlineStr">
        <is>
          <t>ZUBoard 1CG / Basys 3</t>
        </is>
      </c>
      <c r="AD46" s="16" t="inlineStr">
        <is>
          <t>BALU-RS-001 Rev 0.4</t>
        </is>
      </c>
    </row>
    <row r="47">
      <c r="A47" s="16" t="inlineStr">
        <is>
          <t>UART-FF-009</t>
        </is>
      </c>
      <c r="B47" s="16" t="inlineStr">
        <is>
          <t>FF</t>
        </is>
      </c>
      <c r="C47" s="16" t="inlineStr">
        <is>
          <t>functional</t>
        </is>
      </c>
      <c r="D47" s="16" t="inlineStr">
        <is>
          <t>The Buffered AXI-Lite UART shall set PARITY_ERR in STATUS when a parity error is detected by the receiver. This flag shall remain set until the STATUS register is read.</t>
        </is>
      </c>
      <c r="E47" s="16" t="inlineStr">
        <is>
          <t>BALU-RS-001</t>
        </is>
      </c>
      <c r="F47" s="16" t="inlineStr">
        <is>
          <t>§7.3</t>
        </is>
      </c>
      <c r="G47" s="16" t="inlineStr">
        <is>
          <t>test</t>
        </is>
      </c>
      <c r="H47" s="16" t="inlineStr">
        <is>
          <t>COV-002</t>
        </is>
      </c>
      <c r="I47" s="16" t="inlineStr">
        <is>
          <t>All four parity modes (00/01/10/11) exercised independently in LOOP_EN loopback; inject parity error bit for odd and even modes.</t>
        </is>
      </c>
      <c r="J47" s="16" t="inlineStr"/>
      <c r="K47" s="16" t="inlineStr">
        <is>
          <t>GENERATED</t>
        </is>
      </c>
      <c r="L47" s="16" t="inlineStr"/>
      <c r="M47" s="16" t="inlineStr"/>
      <c r="N47" s="16" t="inlineStr"/>
      <c r="O47" s="16" t="inlineStr">
        <is>
          <t>vhdl/buffered_axi_lite_uart.vhd</t>
        </is>
      </c>
      <c r="P47" s="16" t="inlineStr">
        <is>
          <t>RTL</t>
        </is>
      </c>
      <c r="Q47" s="16" t="inlineStr">
        <is>
          <t>NOT_RUN</t>
        </is>
      </c>
      <c r="R47" s="16" t="inlineStr"/>
      <c r="S47" s="16" t="inlineStr"/>
      <c r="T47" s="16" t="inlineStr"/>
      <c r="U47" s="16" t="inlineStr">
        <is>
          <t>NOT_RUN</t>
        </is>
      </c>
      <c r="V47" s="16" t="inlineStr"/>
      <c r="W47" s="16" t="inlineStr"/>
      <c r="X47" s="17">
        <f>IF(K47="WAIVED","WAIVED",IF(H47="","OPEN",IF(Q47="PASS",IF(Y47&lt;&gt;"","CLOSED","PASSING"),IF(Q47="FAIL","FAILING","COVERED"))))</f>
        <v/>
      </c>
      <c r="Y47" s="16" t="inlineStr"/>
      <c r="Z47" s="16" t="inlineStr"/>
      <c r="AA47" s="16" t="inlineStr"/>
      <c r="AB47" s="16" t="inlineStr">
        <is>
          <t>1.0.0</t>
        </is>
      </c>
      <c r="AC47" s="16" t="inlineStr">
        <is>
          <t>ZUBoard 1CG / Basys 3</t>
        </is>
      </c>
      <c r="AD47" s="16" t="inlineStr">
        <is>
          <t>BALU-RS-001 Rev 0.4</t>
        </is>
      </c>
    </row>
    <row r="48">
      <c r="A48" s="16" t="inlineStr">
        <is>
          <t>UART-FIFO-001</t>
        </is>
      </c>
      <c r="B48" s="16" t="inlineStr">
        <is>
          <t>FIFO</t>
        </is>
      </c>
      <c r="C48" s="16" t="inlineStr">
        <is>
          <t>functional</t>
        </is>
      </c>
      <c r="D48" s="16" t="inlineStr">
        <is>
          <t>The Buffered AXI-Lite UART shall implement separate TX and RX FIFOs each with a depth of G_FIFO_DEPTH entries of 8 bits.</t>
        </is>
      </c>
      <c r="E48" s="16" t="inlineStr">
        <is>
          <t>BALU-RS-001</t>
        </is>
      </c>
      <c r="F48" s="16" t="inlineStr">
        <is>
          <t>§7.4</t>
        </is>
      </c>
      <c r="G48" s="16" t="inlineStr">
        <is>
          <t>inspection</t>
        </is>
      </c>
      <c r="H48" s="16" t="inlineStr">
        <is>
          <t>COV-017</t>
        </is>
      </c>
      <c r="I48" s="16" t="inlineStr">
        <is>
          <t>Structural inspection: verify 8-bit data frames transmitted and received, AXI data width=32, address width sufficient, single-beat transactions only.</t>
        </is>
      </c>
      <c r="J48" s="16" t="inlineStr"/>
      <c r="K48" s="16" t="inlineStr">
        <is>
          <t>GENERATED</t>
        </is>
      </c>
      <c r="L48" s="16" t="inlineStr"/>
      <c r="M48" s="16" t="inlineStr"/>
      <c r="N48" s="16" t="inlineStr"/>
      <c r="O48" s="16" t="inlineStr">
        <is>
          <t>vhdl/buffered_axi_lite_uart.vhd</t>
        </is>
      </c>
      <c r="P48" s="16" t="inlineStr">
        <is>
          <t>RTL</t>
        </is>
      </c>
      <c r="Q48" s="16" t="inlineStr">
        <is>
          <t>NOT_RUN</t>
        </is>
      </c>
      <c r="R48" s="16" t="inlineStr"/>
      <c r="S48" s="16" t="inlineStr"/>
      <c r="T48" s="16" t="inlineStr"/>
      <c r="U48" s="16" t="inlineStr">
        <is>
          <t>NOT_RUN</t>
        </is>
      </c>
      <c r="V48" s="16" t="inlineStr"/>
      <c r="W48" s="16" t="inlineStr"/>
      <c r="X48" s="17">
        <f>IF(K48="WAIVED","WAIVED",IF(H48="","OPEN",IF(Q48="PASS",IF(Y48&lt;&gt;"","CLOSED","PASSING"),IF(Q48="FAIL","FAILING","COVERED"))))</f>
        <v/>
      </c>
      <c r="Y48" s="16" t="inlineStr"/>
      <c r="Z48" s="16" t="inlineStr"/>
      <c r="AA48" s="16" t="inlineStr"/>
      <c r="AB48" s="16" t="inlineStr">
        <is>
          <t>1.0.0</t>
        </is>
      </c>
      <c r="AC48" s="16" t="inlineStr">
        <is>
          <t>ZUBoard 1CG / Basys 3</t>
        </is>
      </c>
      <c r="AD48" s="16" t="inlineStr">
        <is>
          <t>BALU-RS-001 Rev 0.4</t>
        </is>
      </c>
    </row>
    <row r="49">
      <c r="A49" s="16" t="inlineStr">
        <is>
          <t>UART-FIFO-002</t>
        </is>
      </c>
      <c r="B49" s="16" t="inlineStr">
        <is>
          <t>FIFO</t>
        </is>
      </c>
      <c r="C49" s="16" t="inlineStr">
        <is>
          <t>functional</t>
        </is>
      </c>
      <c r="D49" s="16" t="inlineStr">
        <is>
          <t>The Buffered AXI-Lite UART shall assert TX_FULL in STATUS when TX FIFO occupancy equals G_FIFO_DEPTH, and deassert it when occupancy falls below G_FIFO_DEPTH.</t>
        </is>
      </c>
      <c r="E49" s="16" t="inlineStr">
        <is>
          <t>BALU-RS-001</t>
        </is>
      </c>
      <c r="F49" s="16" t="inlineStr">
        <is>
          <t>§7.4</t>
        </is>
      </c>
      <c r="G49" s="16" t="inlineStr">
        <is>
          <t>test</t>
        </is>
      </c>
      <c r="H49" s="16" t="inlineStr">
        <is>
          <t>COV-005</t>
        </is>
      </c>
      <c r="I49" s="16" t="inlineStr">
        <is>
          <t>TX FIFO occupancy driven to 0, TX_THRESH-1, TX_THRESH, TX_THRESH+1, and G_FIFO_DEPTH to verify status flags and write-ignore behavior.</t>
        </is>
      </c>
      <c r="J49" s="16" t="inlineStr"/>
      <c r="K49" s="16" t="inlineStr">
        <is>
          <t>GENERATED</t>
        </is>
      </c>
      <c r="L49" s="16" t="inlineStr"/>
      <c r="M49" s="16" t="inlineStr"/>
      <c r="N49" s="16" t="inlineStr"/>
      <c r="O49" s="16" t="inlineStr">
        <is>
          <t>vhdl/buffered_axi_lite_uart.vhd</t>
        </is>
      </c>
      <c r="P49" s="16" t="inlineStr">
        <is>
          <t>RTL</t>
        </is>
      </c>
      <c r="Q49" s="16" t="inlineStr">
        <is>
          <t>NOT_RUN</t>
        </is>
      </c>
      <c r="R49" s="16" t="inlineStr"/>
      <c r="S49" s="16" t="inlineStr"/>
      <c r="T49" s="16" t="inlineStr"/>
      <c r="U49" s="16" t="inlineStr">
        <is>
          <t>NOT_RUN</t>
        </is>
      </c>
      <c r="V49" s="16" t="inlineStr"/>
      <c r="W49" s="16" t="inlineStr"/>
      <c r="X49" s="17">
        <f>IF(K49="WAIVED","WAIVED",IF(H49="","OPEN",IF(Q49="PASS",IF(Y49&lt;&gt;"","CLOSED","PASSING"),IF(Q49="FAIL","FAILING","COVERED"))))</f>
        <v/>
      </c>
      <c r="Y49" s="16" t="inlineStr"/>
      <c r="Z49" s="16" t="inlineStr"/>
      <c r="AA49" s="16" t="inlineStr"/>
      <c r="AB49" s="16" t="inlineStr">
        <is>
          <t>1.0.0</t>
        </is>
      </c>
      <c r="AC49" s="16" t="inlineStr">
        <is>
          <t>ZUBoard 1CG / Basys 3</t>
        </is>
      </c>
      <c r="AD49" s="16" t="inlineStr">
        <is>
          <t>BALU-RS-001 Rev 0.4</t>
        </is>
      </c>
    </row>
    <row r="50">
      <c r="A50" s="16" t="inlineStr">
        <is>
          <t>UART-FIFO-003</t>
        </is>
      </c>
      <c r="B50" s="16" t="inlineStr">
        <is>
          <t>FIFO</t>
        </is>
      </c>
      <c r="C50" s="16" t="inlineStr">
        <is>
          <t>functional</t>
        </is>
      </c>
      <c r="D50" s="16" t="inlineStr">
        <is>
          <t>The Buffered AXI-Lite UART shall assert TX_EMPTY in STATUS when TX FIFO occupancy equals zero, and deassert it when the first byte is written to the TX FIFO.</t>
        </is>
      </c>
      <c r="E50" s="16" t="inlineStr">
        <is>
          <t>BALU-RS-001</t>
        </is>
      </c>
      <c r="F50" s="16" t="inlineStr">
        <is>
          <t>§7.4</t>
        </is>
      </c>
      <c r="G50" s="16" t="inlineStr">
        <is>
          <t>test</t>
        </is>
      </c>
      <c r="H50" s="16" t="inlineStr">
        <is>
          <t>COV-005</t>
        </is>
      </c>
      <c r="I50" s="16" t="inlineStr">
        <is>
          <t>TX FIFO occupancy driven to 0, TX_THRESH-1, TX_THRESH, TX_THRESH+1, and G_FIFO_DEPTH to verify status flags and write-ignore behavior.</t>
        </is>
      </c>
      <c r="J50" s="16" t="inlineStr"/>
      <c r="K50" s="16" t="inlineStr">
        <is>
          <t>GENERATED</t>
        </is>
      </c>
      <c r="L50" s="16" t="inlineStr"/>
      <c r="M50" s="16" t="inlineStr"/>
      <c r="N50" s="16" t="inlineStr"/>
      <c r="O50" s="16" t="inlineStr">
        <is>
          <t>vhdl/buffered_axi_lite_uart.vhd</t>
        </is>
      </c>
      <c r="P50" s="16" t="inlineStr">
        <is>
          <t>RTL</t>
        </is>
      </c>
      <c r="Q50" s="16" t="inlineStr">
        <is>
          <t>NOT_RUN</t>
        </is>
      </c>
      <c r="R50" s="16" t="inlineStr"/>
      <c r="S50" s="16" t="inlineStr"/>
      <c r="T50" s="16" t="inlineStr"/>
      <c r="U50" s="16" t="inlineStr">
        <is>
          <t>NOT_RUN</t>
        </is>
      </c>
      <c r="V50" s="16" t="inlineStr"/>
      <c r="W50" s="16" t="inlineStr"/>
      <c r="X50" s="17">
        <f>IF(K50="WAIVED","WAIVED",IF(H50="","OPEN",IF(Q50="PASS",IF(Y50&lt;&gt;"","CLOSED","PASSING"),IF(Q50="FAIL","FAILING","COVERED"))))</f>
        <v/>
      </c>
      <c r="Y50" s="16" t="inlineStr"/>
      <c r="Z50" s="16" t="inlineStr"/>
      <c r="AA50" s="16" t="inlineStr"/>
      <c r="AB50" s="16" t="inlineStr">
        <is>
          <t>1.0.0</t>
        </is>
      </c>
      <c r="AC50" s="16" t="inlineStr">
        <is>
          <t>ZUBoard 1CG / Basys 3</t>
        </is>
      </c>
      <c r="AD50" s="16" t="inlineStr">
        <is>
          <t>BALU-RS-001 Rev 0.4</t>
        </is>
      </c>
    </row>
    <row r="51">
      <c r="A51" s="16" t="inlineStr">
        <is>
          <t>UART-FIFO-004</t>
        </is>
      </c>
      <c r="B51" s="16" t="inlineStr">
        <is>
          <t>FIFO</t>
        </is>
      </c>
      <c r="C51" s="16" t="inlineStr">
        <is>
          <t>functional</t>
        </is>
      </c>
      <c r="D51" s="16" t="inlineStr">
        <is>
          <t>The Buffered AXI-Lite UART shall assert RX_FULL in STATUS when RX FIFO occupancy equals G_FIFO_DEPTH, and deassert it when occupancy falls below G_FIFO_DEPTH.</t>
        </is>
      </c>
      <c r="E51" s="16" t="inlineStr">
        <is>
          <t>BALU-RS-001</t>
        </is>
      </c>
      <c r="F51" s="16" t="inlineStr">
        <is>
          <t>§7.4</t>
        </is>
      </c>
      <c r="G51" s="16" t="inlineStr">
        <is>
          <t>test</t>
        </is>
      </c>
      <c r="H51" s="16" t="inlineStr">
        <is>
          <t>COV-004</t>
        </is>
      </c>
      <c r="I51" s="16" t="inlineStr">
        <is>
          <t>RX FIFO occupancy driven to 0, RX_THRESH-1, RX_THRESH, RX_THRESH+1, and G_FIFO_DEPTH to verify status flags and overrun discard.</t>
        </is>
      </c>
      <c r="J51" s="16" t="inlineStr"/>
      <c r="K51" s="16" t="inlineStr">
        <is>
          <t>GENERATED</t>
        </is>
      </c>
      <c r="L51" s="16" t="inlineStr"/>
      <c r="M51" s="16" t="inlineStr"/>
      <c r="N51" s="16" t="inlineStr"/>
      <c r="O51" s="16" t="inlineStr">
        <is>
          <t>vhdl/buffered_axi_lite_uart.vhd</t>
        </is>
      </c>
      <c r="P51" s="16" t="inlineStr">
        <is>
          <t>RTL</t>
        </is>
      </c>
      <c r="Q51" s="16" t="inlineStr">
        <is>
          <t>NOT_RUN</t>
        </is>
      </c>
      <c r="R51" s="16" t="inlineStr"/>
      <c r="S51" s="16" t="inlineStr"/>
      <c r="T51" s="16" t="inlineStr"/>
      <c r="U51" s="16" t="inlineStr">
        <is>
          <t>NOT_RUN</t>
        </is>
      </c>
      <c r="V51" s="16" t="inlineStr"/>
      <c r="W51" s="16" t="inlineStr"/>
      <c r="X51" s="17">
        <f>IF(K51="WAIVED","WAIVED",IF(H51="","OPEN",IF(Q51="PASS",IF(Y51&lt;&gt;"","CLOSED","PASSING"),IF(Q51="FAIL","FAILING","COVERED"))))</f>
        <v/>
      </c>
      <c r="Y51" s="16" t="inlineStr"/>
      <c r="Z51" s="16" t="inlineStr"/>
      <c r="AA51" s="16" t="inlineStr"/>
      <c r="AB51" s="16" t="inlineStr">
        <is>
          <t>1.0.0</t>
        </is>
      </c>
      <c r="AC51" s="16" t="inlineStr">
        <is>
          <t>ZUBoard 1CG / Basys 3</t>
        </is>
      </c>
      <c r="AD51" s="16" t="inlineStr">
        <is>
          <t>BALU-RS-001 Rev 0.4</t>
        </is>
      </c>
    </row>
    <row r="52">
      <c r="A52" s="16" t="inlineStr">
        <is>
          <t>UART-FIFO-005</t>
        </is>
      </c>
      <c r="B52" s="16" t="inlineStr">
        <is>
          <t>FIFO</t>
        </is>
      </c>
      <c r="C52" s="16" t="inlineStr">
        <is>
          <t>functional</t>
        </is>
      </c>
      <c r="D52" s="16" t="inlineStr">
        <is>
          <t>The Buffered AXI-Lite UART shall assert RX_EMPTY in STATUS when RX FIFO occupancy equals zero, and deassert it when the first received byte is transferred to the RX FIFO.</t>
        </is>
      </c>
      <c r="E52" s="16" t="inlineStr">
        <is>
          <t>BALU-RS-001</t>
        </is>
      </c>
      <c r="F52" s="16" t="inlineStr">
        <is>
          <t>§7.4</t>
        </is>
      </c>
      <c r="G52" s="16" t="inlineStr">
        <is>
          <t>test</t>
        </is>
      </c>
      <c r="H52" s="16" t="inlineStr">
        <is>
          <t>COV-004</t>
        </is>
      </c>
      <c r="I52" s="16" t="inlineStr">
        <is>
          <t>RX FIFO occupancy driven to 0, RX_THRESH-1, RX_THRESH, RX_THRESH+1, and G_FIFO_DEPTH to verify status flags and overrun discard.</t>
        </is>
      </c>
      <c r="J52" s="16" t="inlineStr"/>
      <c r="K52" s="16" t="inlineStr">
        <is>
          <t>GENERATED</t>
        </is>
      </c>
      <c r="L52" s="16" t="inlineStr"/>
      <c r="M52" s="16" t="inlineStr"/>
      <c r="N52" s="16" t="inlineStr"/>
      <c r="O52" s="16" t="inlineStr">
        <is>
          <t>vhdl/buffered_axi_lite_uart.vhd</t>
        </is>
      </c>
      <c r="P52" s="16" t="inlineStr">
        <is>
          <t>RTL</t>
        </is>
      </c>
      <c r="Q52" s="16" t="inlineStr">
        <is>
          <t>NOT_RUN</t>
        </is>
      </c>
      <c r="R52" s="16" t="inlineStr"/>
      <c r="S52" s="16" t="inlineStr"/>
      <c r="T52" s="16" t="inlineStr"/>
      <c r="U52" s="16" t="inlineStr">
        <is>
          <t>NOT_RUN</t>
        </is>
      </c>
      <c r="V52" s="16" t="inlineStr"/>
      <c r="W52" s="16" t="inlineStr"/>
      <c r="X52" s="17">
        <f>IF(K52="WAIVED","WAIVED",IF(H52="","OPEN",IF(Q52="PASS",IF(Y52&lt;&gt;"","CLOSED","PASSING"),IF(Q52="FAIL","FAILING","COVERED"))))</f>
        <v/>
      </c>
      <c r="Y52" s="16" t="inlineStr"/>
      <c r="Z52" s="16" t="inlineStr"/>
      <c r="AA52" s="16" t="inlineStr"/>
      <c r="AB52" s="16" t="inlineStr">
        <is>
          <t>1.0.0</t>
        </is>
      </c>
      <c r="AC52" s="16" t="inlineStr">
        <is>
          <t>ZUBoard 1CG / Basys 3</t>
        </is>
      </c>
      <c r="AD52" s="16" t="inlineStr">
        <is>
          <t>BALU-RS-001 Rev 0.4</t>
        </is>
      </c>
    </row>
    <row r="53">
      <c r="A53" s="16" t="inlineStr">
        <is>
          <t>UART-FIFO-006</t>
        </is>
      </c>
      <c r="B53" s="16" t="inlineStr">
        <is>
          <t>FIFO</t>
        </is>
      </c>
      <c r="C53" s="16" t="inlineStr">
        <is>
          <t>functional</t>
        </is>
      </c>
      <c r="D53" s="16" t="inlineStr">
        <is>
          <t>The Buffered AXI-Lite UART shall silently ignore a write to TX_DATA while TX_FULL is asserted. The TX FIFO content shall be unchanged.</t>
        </is>
      </c>
      <c r="E53" s="16" t="inlineStr">
        <is>
          <t>BALU-RS-001</t>
        </is>
      </c>
      <c r="F53" s="16" t="inlineStr">
        <is>
          <t>§7.4</t>
        </is>
      </c>
      <c r="G53" s="16" t="inlineStr">
        <is>
          <t>test</t>
        </is>
      </c>
      <c r="H53" s="16" t="inlineStr">
        <is>
          <t>COV-005</t>
        </is>
      </c>
      <c r="I53" s="16" t="inlineStr">
        <is>
          <t>TX FIFO occupancy driven to 0, TX_THRESH-1, TX_THRESH, TX_THRESH+1, and G_FIFO_DEPTH to verify status flags and write-ignore behavior.</t>
        </is>
      </c>
      <c r="J53" s="16" t="inlineStr"/>
      <c r="K53" s="16" t="inlineStr">
        <is>
          <t>GENERATED</t>
        </is>
      </c>
      <c r="L53" s="16" t="inlineStr"/>
      <c r="M53" s="16" t="inlineStr"/>
      <c r="N53" s="16" t="inlineStr"/>
      <c r="O53" s="16" t="inlineStr">
        <is>
          <t>vhdl/buffered_axi_lite_uart.vhd</t>
        </is>
      </c>
      <c r="P53" s="16" t="inlineStr">
        <is>
          <t>RTL</t>
        </is>
      </c>
      <c r="Q53" s="16" t="inlineStr">
        <is>
          <t>NOT_RUN</t>
        </is>
      </c>
      <c r="R53" s="16" t="inlineStr"/>
      <c r="S53" s="16" t="inlineStr"/>
      <c r="T53" s="16" t="inlineStr"/>
      <c r="U53" s="16" t="inlineStr">
        <is>
          <t>NOT_RUN</t>
        </is>
      </c>
      <c r="V53" s="16" t="inlineStr"/>
      <c r="W53" s="16" t="inlineStr"/>
      <c r="X53" s="17">
        <f>IF(K53="WAIVED","WAIVED",IF(H53="","OPEN",IF(Q53="PASS",IF(Y53&lt;&gt;"","CLOSED","PASSING"),IF(Q53="FAIL","FAILING","COVERED"))))</f>
        <v/>
      </c>
      <c r="Y53" s="16" t="inlineStr"/>
      <c r="Z53" s="16" t="inlineStr"/>
      <c r="AA53" s="16" t="inlineStr"/>
      <c r="AB53" s="16" t="inlineStr">
        <is>
          <t>1.0.0</t>
        </is>
      </c>
      <c r="AC53" s="16" t="inlineStr">
        <is>
          <t>ZUBoard 1CG / Basys 3</t>
        </is>
      </c>
      <c r="AD53" s="16" t="inlineStr">
        <is>
          <t>BALU-RS-001 Rev 0.4</t>
        </is>
      </c>
    </row>
    <row r="54">
      <c r="A54" s="16" t="inlineStr">
        <is>
          <t>UART-FIFO-007</t>
        </is>
      </c>
      <c r="B54" s="16" t="inlineStr">
        <is>
          <t>FIFO</t>
        </is>
      </c>
      <c r="C54" s="16" t="inlineStr">
        <is>
          <t>functional</t>
        </is>
      </c>
      <c r="D54" s="16" t="inlineStr">
        <is>
          <t>The Buffered AXI-Lite UART shall discard the incoming byte when an RX overrun occurs (a received frame completes while the RX FIFO is full), preserving all existing RX FIFO content unchanged.</t>
        </is>
      </c>
      <c r="E54" s="16" t="inlineStr">
        <is>
          <t>BALU-RS-001</t>
        </is>
      </c>
      <c r="F54" s="16" t="inlineStr">
        <is>
          <t>§7.4</t>
        </is>
      </c>
      <c r="G54" s="16" t="inlineStr">
        <is>
          <t>test</t>
        </is>
      </c>
      <c r="H54" s="16" t="inlineStr">
        <is>
          <t>COV-004, COV-008</t>
        </is>
      </c>
      <c r="I54" s="16" t="inlineStr">
        <is>
          <t>RX FIFO occupancy driven to 0, RX_THRESH-1, RX_THRESH, RX_THRESH+1, and G_FIFO_DEPTH to verify status flags and overrun discard.</t>
        </is>
      </c>
      <c r="J54" s="16" t="inlineStr"/>
      <c r="K54" s="16" t="inlineStr">
        <is>
          <t>GENERATED</t>
        </is>
      </c>
      <c r="L54" s="16" t="inlineStr"/>
      <c r="M54" s="16" t="inlineStr"/>
      <c r="N54" s="16" t="inlineStr"/>
      <c r="O54" s="16" t="inlineStr">
        <is>
          <t>vhdl/buffered_axi_lite_uart.vhd</t>
        </is>
      </c>
      <c r="P54" s="16" t="inlineStr">
        <is>
          <t>RTL</t>
        </is>
      </c>
      <c r="Q54" s="16" t="inlineStr">
        <is>
          <t>NOT_RUN</t>
        </is>
      </c>
      <c r="R54" s="16" t="inlineStr"/>
      <c r="S54" s="16" t="inlineStr"/>
      <c r="T54" s="16" t="inlineStr"/>
      <c r="U54" s="16" t="inlineStr">
        <is>
          <t>NOT_RUN</t>
        </is>
      </c>
      <c r="V54" s="16" t="inlineStr"/>
      <c r="W54" s="16" t="inlineStr"/>
      <c r="X54" s="17">
        <f>IF(K54="WAIVED","WAIVED",IF(H54="","OPEN",IF(Q54="PASS",IF(Y54&lt;&gt;"","CLOSED","PASSING"),IF(Q54="FAIL","FAILING","COVERED"))))</f>
        <v/>
      </c>
      <c r="Y54" s="16" t="inlineStr"/>
      <c r="Z54" s="16" t="inlineStr"/>
      <c r="AA54" s="16" t="inlineStr"/>
      <c r="AB54" s="16" t="inlineStr">
        <is>
          <t>1.0.0</t>
        </is>
      </c>
      <c r="AC54" s="16" t="inlineStr">
        <is>
          <t>ZUBoard 1CG / Basys 3</t>
        </is>
      </c>
      <c r="AD54" s="16" t="inlineStr">
        <is>
          <t>BALU-RS-001 Rev 0.4</t>
        </is>
      </c>
    </row>
    <row r="55">
      <c r="A55" s="16" t="inlineStr">
        <is>
          <t>UART-FIFO-008</t>
        </is>
      </c>
      <c r="B55" s="16" t="inlineStr">
        <is>
          <t>FIFO</t>
        </is>
      </c>
      <c r="C55" s="16" t="inlineStr">
        <is>
          <t>functional</t>
        </is>
      </c>
      <c r="D55" s="16" t="inlineStr">
        <is>
          <t>The Buffered AXI-Lite UART shall reflect the current TX FIFO occupancy as an 8-bit unsigned integer in FIFO_STATUS.TX_LEVEL, readable at any time regardless of UART_EN state.</t>
        </is>
      </c>
      <c r="E55" s="16" t="inlineStr">
        <is>
          <t>BALU-RS-001</t>
        </is>
      </c>
      <c r="F55" s="16" t="inlineStr">
        <is>
          <t>§7.4</t>
        </is>
      </c>
      <c r="G55" s="16" t="inlineStr">
        <is>
          <t>test</t>
        </is>
      </c>
      <c r="H55" s="16" t="inlineStr">
        <is>
          <t>COV-005</t>
        </is>
      </c>
      <c r="I55" s="16" t="inlineStr">
        <is>
          <t>TX FIFO occupancy driven to 0, TX_THRESH-1, TX_THRESH, TX_THRESH+1, and G_FIFO_DEPTH to verify status flags and write-ignore behavior.</t>
        </is>
      </c>
      <c r="J55" s="16" t="inlineStr"/>
      <c r="K55" s="16" t="inlineStr">
        <is>
          <t>GENERATED</t>
        </is>
      </c>
      <c r="L55" s="16" t="inlineStr"/>
      <c r="M55" s="16" t="inlineStr"/>
      <c r="N55" s="16" t="inlineStr"/>
      <c r="O55" s="16" t="inlineStr">
        <is>
          <t>vhdl/buffered_axi_lite_uart.vhd</t>
        </is>
      </c>
      <c r="P55" s="16" t="inlineStr">
        <is>
          <t>RTL</t>
        </is>
      </c>
      <c r="Q55" s="16" t="inlineStr">
        <is>
          <t>NOT_RUN</t>
        </is>
      </c>
      <c r="R55" s="16" t="inlineStr"/>
      <c r="S55" s="16" t="inlineStr"/>
      <c r="T55" s="16" t="inlineStr"/>
      <c r="U55" s="16" t="inlineStr">
        <is>
          <t>NOT_RUN</t>
        </is>
      </c>
      <c r="V55" s="16" t="inlineStr"/>
      <c r="W55" s="16" t="inlineStr"/>
      <c r="X55" s="17">
        <f>IF(K55="WAIVED","WAIVED",IF(H55="","OPEN",IF(Q55="PASS",IF(Y55&lt;&gt;"","CLOSED","PASSING"),IF(Q55="FAIL","FAILING","COVERED"))))</f>
        <v/>
      </c>
      <c r="Y55" s="16" t="inlineStr"/>
      <c r="Z55" s="16" t="inlineStr"/>
      <c r="AA55" s="16" t="inlineStr"/>
      <c r="AB55" s="16" t="inlineStr">
        <is>
          <t>1.0.0</t>
        </is>
      </c>
      <c r="AC55" s="16" t="inlineStr">
        <is>
          <t>ZUBoard 1CG / Basys 3</t>
        </is>
      </c>
      <c r="AD55" s="16" t="inlineStr">
        <is>
          <t>BALU-RS-001 Rev 0.4</t>
        </is>
      </c>
    </row>
    <row r="56">
      <c r="A56" s="16" t="inlineStr">
        <is>
          <t>UART-FIFO-009</t>
        </is>
      </c>
      <c r="B56" s="16" t="inlineStr">
        <is>
          <t>FIFO</t>
        </is>
      </c>
      <c r="C56" s="16" t="inlineStr">
        <is>
          <t>functional</t>
        </is>
      </c>
      <c r="D56" s="16" t="inlineStr">
        <is>
          <t>The Buffered AXI-Lite UART shall reflect the current RX FIFO occupancy as an 8-bit unsigned integer in FIFO_STATUS.RX_LEVEL, readable at any time regardless of UART_EN state.</t>
        </is>
      </c>
      <c r="E56" s="16" t="inlineStr">
        <is>
          <t>BALU-RS-001</t>
        </is>
      </c>
      <c r="F56" s="16" t="inlineStr">
        <is>
          <t>§7.4</t>
        </is>
      </c>
      <c r="G56" s="16" t="inlineStr">
        <is>
          <t>test</t>
        </is>
      </c>
      <c r="H56" s="16" t="inlineStr">
        <is>
          <t>COV-004</t>
        </is>
      </c>
      <c r="I56" s="16" t="inlineStr">
        <is>
          <t>RX FIFO occupancy driven to 0, RX_THRESH-1, RX_THRESH, RX_THRESH+1, and G_FIFO_DEPTH to verify status flags and overrun discard.</t>
        </is>
      </c>
      <c r="J56" s="16" t="inlineStr"/>
      <c r="K56" s="16" t="inlineStr">
        <is>
          <t>GENERATED</t>
        </is>
      </c>
      <c r="L56" s="16" t="inlineStr"/>
      <c r="M56" s="16" t="inlineStr"/>
      <c r="N56" s="16" t="inlineStr"/>
      <c r="O56" s="16" t="inlineStr">
        <is>
          <t>vhdl/buffered_axi_lite_uart.vhd</t>
        </is>
      </c>
      <c r="P56" s="16" t="inlineStr">
        <is>
          <t>RTL</t>
        </is>
      </c>
      <c r="Q56" s="16" t="inlineStr">
        <is>
          <t>NOT_RUN</t>
        </is>
      </c>
      <c r="R56" s="16" t="inlineStr"/>
      <c r="S56" s="16" t="inlineStr"/>
      <c r="T56" s="16" t="inlineStr"/>
      <c r="U56" s="16" t="inlineStr">
        <is>
          <t>NOT_RUN</t>
        </is>
      </c>
      <c r="V56" s="16" t="inlineStr"/>
      <c r="W56" s="16" t="inlineStr"/>
      <c r="X56" s="17">
        <f>IF(K56="WAIVED","WAIVED",IF(H56="","OPEN",IF(Q56="PASS",IF(Y56&lt;&gt;"","CLOSED","PASSING"),IF(Q56="FAIL","FAILING","COVERED"))))</f>
        <v/>
      </c>
      <c r="Y56" s="16" t="inlineStr"/>
      <c r="Z56" s="16" t="inlineStr"/>
      <c r="AA56" s="16" t="inlineStr"/>
      <c r="AB56" s="16" t="inlineStr">
        <is>
          <t>1.0.0</t>
        </is>
      </c>
      <c r="AC56" s="16" t="inlineStr">
        <is>
          <t>ZUBoard 1CG / Basys 3</t>
        </is>
      </c>
      <c r="AD56" s="16" t="inlineStr">
        <is>
          <t>BALU-RS-001 Rev 0.4</t>
        </is>
      </c>
    </row>
    <row r="57">
      <c r="A57" s="16" t="inlineStr">
        <is>
          <t>UART-TO-001</t>
        </is>
      </c>
      <c r="B57" s="16" t="inlineStr">
        <is>
          <t>TO</t>
        </is>
      </c>
      <c r="C57" s="16" t="inlineStr">
        <is>
          <t>functional</t>
        </is>
      </c>
      <c r="D57" s="16" t="inlineStr">
        <is>
          <t>The Buffered AXI-Lite UART shall disable the receive timeout mechanism entirely when TIMEOUT_VAL = 0x0000. No timeout event shall occur regardless of RX FIFO state.</t>
        </is>
      </c>
      <c r="E57" s="16" t="inlineStr">
        <is>
          <t>BALU-RS-001</t>
        </is>
      </c>
      <c r="F57" s="16" t="inlineStr">
        <is>
          <t>§7.5</t>
        </is>
      </c>
      <c r="G57" s="16" t="inlineStr">
        <is>
          <t>test</t>
        </is>
      </c>
      <c r="H57" s="16" t="inlineStr">
        <is>
          <t>COV-006</t>
        </is>
      </c>
      <c r="I57" s="16" t="inlineStr">
        <is>
          <t>TIMEOUT_VAL set to 0x0000, 0x0001, G_TIMEOUT_DEFAULT, 0xFFFE, and 0xFFFF; idle receiver until timeout fires for each non-zero value.</t>
        </is>
      </c>
      <c r="J57" s="16" t="inlineStr"/>
      <c r="K57" s="16" t="inlineStr">
        <is>
          <t>GENERATED</t>
        </is>
      </c>
      <c r="L57" s="16" t="inlineStr"/>
      <c r="M57" s="16" t="inlineStr"/>
      <c r="N57" s="16" t="inlineStr"/>
      <c r="O57" s="16" t="inlineStr">
        <is>
          <t>vhdl/buffered_axi_lite_uart.vhd</t>
        </is>
      </c>
      <c r="P57" s="16" t="inlineStr">
        <is>
          <t>RTL</t>
        </is>
      </c>
      <c r="Q57" s="16" t="inlineStr">
        <is>
          <t>NOT_RUN</t>
        </is>
      </c>
      <c r="R57" s="16" t="inlineStr"/>
      <c r="S57" s="16" t="inlineStr"/>
      <c r="T57" s="16" t="inlineStr"/>
      <c r="U57" s="16" t="inlineStr">
        <is>
          <t>NOT_RUN</t>
        </is>
      </c>
      <c r="V57" s="16" t="inlineStr"/>
      <c r="W57" s="16" t="inlineStr"/>
      <c r="X57" s="17">
        <f>IF(K57="WAIVED","WAIVED",IF(H57="","OPEN",IF(Q57="PASS",IF(Y57&lt;&gt;"","CLOSED","PASSING"),IF(Q57="FAIL","FAILING","COVERED"))))</f>
        <v/>
      </c>
      <c r="Y57" s="16" t="inlineStr"/>
      <c r="Z57" s="16" t="inlineStr"/>
      <c r="AA57" s="16" t="inlineStr"/>
      <c r="AB57" s="16" t="inlineStr">
        <is>
          <t>1.0.0</t>
        </is>
      </c>
      <c r="AC57" s="16" t="inlineStr">
        <is>
          <t>ZUBoard 1CG / Basys 3</t>
        </is>
      </c>
      <c r="AD57" s="16" t="inlineStr">
        <is>
          <t>BALU-RS-001 Rev 0.4</t>
        </is>
      </c>
    </row>
    <row r="58">
      <c r="A58" s="16" t="inlineStr">
        <is>
          <t>UART-TO-002</t>
        </is>
      </c>
      <c r="B58" s="16" t="inlineStr">
        <is>
          <t>TO</t>
        </is>
      </c>
      <c r="C58" s="16" t="inlineStr">
        <is>
          <t>functional</t>
        </is>
      </c>
      <c r="D58" s="16" t="inlineStr">
        <is>
          <t>The Buffered AXI-Lite UART shall start the timeout counter when the RX FIFO transitions from empty to non-empty, provided TIMEOUT_VAL is non-zero.</t>
        </is>
      </c>
      <c r="E58" s="16" t="inlineStr">
        <is>
          <t>BALU-RS-001</t>
        </is>
      </c>
      <c r="F58" s="16" t="inlineStr">
        <is>
          <t>§7.5</t>
        </is>
      </c>
      <c r="G58" s="16" t="inlineStr">
        <is>
          <t>test</t>
        </is>
      </c>
      <c r="H58" s="16" t="inlineStr">
        <is>
          <t>COV-006</t>
        </is>
      </c>
      <c r="I58" s="16" t="inlineStr">
        <is>
          <t>TIMEOUT_VAL set to 0x0000, 0x0001, G_TIMEOUT_DEFAULT, 0xFFFE, and 0xFFFF; idle receiver until timeout fires for each non-zero value.</t>
        </is>
      </c>
      <c r="J58" s="16" t="inlineStr"/>
      <c r="K58" s="16" t="inlineStr">
        <is>
          <t>GENERATED</t>
        </is>
      </c>
      <c r="L58" s="16" t="inlineStr"/>
      <c r="M58" s="16" t="inlineStr"/>
      <c r="N58" s="16" t="inlineStr"/>
      <c r="O58" s="16" t="inlineStr">
        <is>
          <t>vhdl/buffered_axi_lite_uart.vhd</t>
        </is>
      </c>
      <c r="P58" s="16" t="inlineStr">
        <is>
          <t>RTL</t>
        </is>
      </c>
      <c r="Q58" s="16" t="inlineStr">
        <is>
          <t>NOT_RUN</t>
        </is>
      </c>
      <c r="R58" s="16" t="inlineStr"/>
      <c r="S58" s="16" t="inlineStr"/>
      <c r="T58" s="16" t="inlineStr"/>
      <c r="U58" s="16" t="inlineStr">
        <is>
          <t>NOT_RUN</t>
        </is>
      </c>
      <c r="V58" s="16" t="inlineStr"/>
      <c r="W58" s="16" t="inlineStr"/>
      <c r="X58" s="17">
        <f>IF(K58="WAIVED","WAIVED",IF(H58="","OPEN",IF(Q58="PASS",IF(Y58&lt;&gt;"","CLOSED","PASSING"),IF(Q58="FAIL","FAILING","COVERED"))))</f>
        <v/>
      </c>
      <c r="Y58" s="16" t="inlineStr"/>
      <c r="Z58" s="16" t="inlineStr"/>
      <c r="AA58" s="16" t="inlineStr"/>
      <c r="AB58" s="16" t="inlineStr">
        <is>
          <t>1.0.0</t>
        </is>
      </c>
      <c r="AC58" s="16" t="inlineStr">
        <is>
          <t>ZUBoard 1CG / Basys 3</t>
        </is>
      </c>
      <c r="AD58" s="16" t="inlineStr">
        <is>
          <t>BALU-RS-001 Rev 0.4</t>
        </is>
      </c>
    </row>
    <row r="59">
      <c r="A59" s="16" t="inlineStr">
        <is>
          <t>UART-TO-003</t>
        </is>
      </c>
      <c r="B59" s="16" t="inlineStr">
        <is>
          <t>TO</t>
        </is>
      </c>
      <c r="C59" s="16" t="inlineStr">
        <is>
          <t>functional</t>
        </is>
      </c>
      <c r="D59" s="16" t="inlineStr">
        <is>
          <t>The Buffered AXI-Lite UART shall restart the timeout counter on each subsequently received character while the RX FIFO remains non-empty.</t>
        </is>
      </c>
      <c r="E59" s="16" t="inlineStr">
        <is>
          <t>BALU-RS-001</t>
        </is>
      </c>
      <c r="F59" s="16" t="inlineStr">
        <is>
          <t>§7.5</t>
        </is>
      </c>
      <c r="G59" s="16" t="inlineStr">
        <is>
          <t>test</t>
        </is>
      </c>
      <c r="H59" s="16" t="inlineStr">
        <is>
          <t>COV-006</t>
        </is>
      </c>
      <c r="I59" s="16" t="inlineStr">
        <is>
          <t>TIMEOUT_VAL set to 0x0000, 0x0001, G_TIMEOUT_DEFAULT, 0xFFFE, and 0xFFFF; idle receiver until timeout fires for each non-zero value.</t>
        </is>
      </c>
      <c r="J59" s="16" t="inlineStr"/>
      <c r="K59" s="16" t="inlineStr">
        <is>
          <t>GENERATED</t>
        </is>
      </c>
      <c r="L59" s="16" t="inlineStr"/>
      <c r="M59" s="16" t="inlineStr"/>
      <c r="N59" s="16" t="inlineStr"/>
      <c r="O59" s="16" t="inlineStr">
        <is>
          <t>vhdl/buffered_axi_lite_uart.vhd</t>
        </is>
      </c>
      <c r="P59" s="16" t="inlineStr">
        <is>
          <t>RTL</t>
        </is>
      </c>
      <c r="Q59" s="16" t="inlineStr">
        <is>
          <t>NOT_RUN</t>
        </is>
      </c>
      <c r="R59" s="16" t="inlineStr"/>
      <c r="S59" s="16" t="inlineStr"/>
      <c r="T59" s="16" t="inlineStr"/>
      <c r="U59" s="16" t="inlineStr">
        <is>
          <t>NOT_RUN</t>
        </is>
      </c>
      <c r="V59" s="16" t="inlineStr"/>
      <c r="W59" s="16" t="inlineStr"/>
      <c r="X59" s="17">
        <f>IF(K59="WAIVED","WAIVED",IF(H59="","OPEN",IF(Q59="PASS",IF(Y59&lt;&gt;"","CLOSED","PASSING"),IF(Q59="FAIL","FAILING","COVERED"))))</f>
        <v/>
      </c>
      <c r="Y59" s="16" t="inlineStr"/>
      <c r="Z59" s="16" t="inlineStr"/>
      <c r="AA59" s="16" t="inlineStr"/>
      <c r="AB59" s="16" t="inlineStr">
        <is>
          <t>1.0.0</t>
        </is>
      </c>
      <c r="AC59" s="16" t="inlineStr">
        <is>
          <t>ZUBoard 1CG / Basys 3</t>
        </is>
      </c>
      <c r="AD59" s="16" t="inlineStr">
        <is>
          <t>BALU-RS-001 Rev 0.4</t>
        </is>
      </c>
    </row>
    <row r="60">
      <c r="A60" s="16" t="inlineStr">
        <is>
          <t>UART-TO-004</t>
        </is>
      </c>
      <c r="B60" s="16" t="inlineStr">
        <is>
          <t>TO</t>
        </is>
      </c>
      <c r="C60" s="16" t="inlineStr">
        <is>
          <t>functional</t>
        </is>
      </c>
      <c r="D60" s="16" t="inlineStr">
        <is>
          <t>The Buffered AXI-Lite UART shall hold the timeout counter inactive and prevent timeout expiry when the RX FIFO is empty.</t>
        </is>
      </c>
      <c r="E60" s="16" t="inlineStr">
        <is>
          <t>BALU-RS-001</t>
        </is>
      </c>
      <c r="F60" s="16" t="inlineStr">
        <is>
          <t>§7.5</t>
        </is>
      </c>
      <c r="G60" s="16" t="inlineStr">
        <is>
          <t>test</t>
        </is>
      </c>
      <c r="H60" s="16" t="inlineStr">
        <is>
          <t>COV-006</t>
        </is>
      </c>
      <c r="I60" s="16" t="inlineStr">
        <is>
          <t>TIMEOUT_VAL set to 0x0000, 0x0001, G_TIMEOUT_DEFAULT, 0xFFFE, and 0xFFFF; idle receiver until timeout fires for each non-zero value.</t>
        </is>
      </c>
      <c r="J60" s="16" t="inlineStr"/>
      <c r="K60" s="16" t="inlineStr">
        <is>
          <t>GENERATED</t>
        </is>
      </c>
      <c r="L60" s="16" t="inlineStr"/>
      <c r="M60" s="16" t="inlineStr"/>
      <c r="N60" s="16" t="inlineStr"/>
      <c r="O60" s="16" t="inlineStr">
        <is>
          <t>vhdl/buffered_axi_lite_uart.vhd</t>
        </is>
      </c>
      <c r="P60" s="16" t="inlineStr">
        <is>
          <t>RTL</t>
        </is>
      </c>
      <c r="Q60" s="16" t="inlineStr">
        <is>
          <t>NOT_RUN</t>
        </is>
      </c>
      <c r="R60" s="16" t="inlineStr"/>
      <c r="S60" s="16" t="inlineStr"/>
      <c r="T60" s="16" t="inlineStr"/>
      <c r="U60" s="16" t="inlineStr">
        <is>
          <t>NOT_RUN</t>
        </is>
      </c>
      <c r="V60" s="16" t="inlineStr"/>
      <c r="W60" s="16" t="inlineStr"/>
      <c r="X60" s="17">
        <f>IF(K60="WAIVED","WAIVED",IF(H60="","OPEN",IF(Q60="PASS",IF(Y60&lt;&gt;"","CLOSED","PASSING"),IF(Q60="FAIL","FAILING","COVERED"))))</f>
        <v/>
      </c>
      <c r="Y60" s="16" t="inlineStr"/>
      <c r="Z60" s="16" t="inlineStr"/>
      <c r="AA60" s="16" t="inlineStr"/>
      <c r="AB60" s="16" t="inlineStr">
        <is>
          <t>1.0.0</t>
        </is>
      </c>
      <c r="AC60" s="16" t="inlineStr">
        <is>
          <t>ZUBoard 1CG / Basys 3</t>
        </is>
      </c>
      <c r="AD60" s="16" t="inlineStr">
        <is>
          <t>BALU-RS-001 Rev 0.4</t>
        </is>
      </c>
    </row>
    <row r="61">
      <c r="A61" s="16" t="inlineStr">
        <is>
          <t>UART-TO-005</t>
        </is>
      </c>
      <c r="B61" s="16" t="inlineStr">
        <is>
          <t>TO</t>
        </is>
      </c>
      <c r="C61" s="16" t="inlineStr">
        <is>
          <t>functional</t>
        </is>
      </c>
      <c r="D61" s="16" t="inlineStr">
        <is>
          <t>The Buffered AXI-Lite UART shall set TIMEOUT_FLAG in STATUS when the timeout counter reaches TIMEOUT_VAL without a new character being received.</t>
        </is>
      </c>
      <c r="E61" s="16" t="inlineStr">
        <is>
          <t>BALU-RS-001</t>
        </is>
      </c>
      <c r="F61" s="16" t="inlineStr">
        <is>
          <t>§7.5</t>
        </is>
      </c>
      <c r="G61" s="16" t="inlineStr">
        <is>
          <t>test</t>
        </is>
      </c>
      <c r="H61" s="16" t="inlineStr">
        <is>
          <t>COV-006, COV-009</t>
        </is>
      </c>
      <c r="I61" s="16" t="inlineStr">
        <is>
          <t>TIMEOUT_VAL set to 0x0000, 0x0001, G_TIMEOUT_DEFAULT, 0xFFFE, and 0xFFFF; idle receiver until timeout fires for each non-zero value.</t>
        </is>
      </c>
      <c r="J61" s="16" t="inlineStr"/>
      <c r="K61" s="16" t="inlineStr">
        <is>
          <t>GENERATED</t>
        </is>
      </c>
      <c r="L61" s="16" t="inlineStr"/>
      <c r="M61" s="16" t="inlineStr"/>
      <c r="N61" s="16" t="inlineStr"/>
      <c r="O61" s="16" t="inlineStr">
        <is>
          <t>vhdl/buffered_axi_lite_uart.vhd</t>
        </is>
      </c>
      <c r="P61" s="16" t="inlineStr">
        <is>
          <t>RTL</t>
        </is>
      </c>
      <c r="Q61" s="16" t="inlineStr">
        <is>
          <t>NOT_RUN</t>
        </is>
      </c>
      <c r="R61" s="16" t="inlineStr"/>
      <c r="S61" s="16" t="inlineStr"/>
      <c r="T61" s="16" t="inlineStr"/>
      <c r="U61" s="16" t="inlineStr">
        <is>
          <t>NOT_RUN</t>
        </is>
      </c>
      <c r="V61" s="16" t="inlineStr"/>
      <c r="W61" s="16" t="inlineStr"/>
      <c r="X61" s="17">
        <f>IF(K61="WAIVED","WAIVED",IF(H61="","OPEN",IF(Q61="PASS",IF(Y61&lt;&gt;"","CLOSED","PASSING"),IF(Q61="FAIL","FAILING","COVERED"))))</f>
        <v/>
      </c>
      <c r="Y61" s="16" t="inlineStr"/>
      <c r="Z61" s="16" t="inlineStr"/>
      <c r="AA61" s="16" t="inlineStr"/>
      <c r="AB61" s="16" t="inlineStr">
        <is>
          <t>1.0.0</t>
        </is>
      </c>
      <c r="AC61" s="16" t="inlineStr">
        <is>
          <t>ZUBoard 1CG / Basys 3</t>
        </is>
      </c>
      <c r="AD61" s="16" t="inlineStr">
        <is>
          <t>BALU-RS-001 Rev 0.4</t>
        </is>
      </c>
    </row>
    <row r="62">
      <c r="A62" s="16" t="inlineStr">
        <is>
          <t>UART-TO-006</t>
        </is>
      </c>
      <c r="B62" s="16" t="inlineStr">
        <is>
          <t>TO</t>
        </is>
      </c>
      <c r="C62" s="16" t="inlineStr">
        <is>
          <t>functional</t>
        </is>
      </c>
      <c r="D62" s="16" t="inlineStr">
        <is>
          <t>The Buffered AXI-Lite UART shall keep TIMEOUT_FLAG set until the RX FIFO is read to empty.</t>
        </is>
      </c>
      <c r="E62" s="16" t="inlineStr">
        <is>
          <t>BALU-RS-001</t>
        </is>
      </c>
      <c r="F62" s="16" t="inlineStr">
        <is>
          <t>§7.5</t>
        </is>
      </c>
      <c r="G62" s="16" t="inlineStr">
        <is>
          <t>test</t>
        </is>
      </c>
      <c r="H62" s="16" t="inlineStr">
        <is>
          <t>COV-006</t>
        </is>
      </c>
      <c r="I62" s="16" t="inlineStr">
        <is>
          <t>TIMEOUT_VAL set to 0x0000, 0x0001, G_TIMEOUT_DEFAULT, 0xFFFE, and 0xFFFF; idle receiver until timeout fires for each non-zero value.</t>
        </is>
      </c>
      <c r="J62" s="16" t="inlineStr"/>
      <c r="K62" s="16" t="inlineStr">
        <is>
          <t>GENERATED</t>
        </is>
      </c>
      <c r="L62" s="16" t="inlineStr"/>
      <c r="M62" s="16" t="inlineStr"/>
      <c r="N62" s="16" t="inlineStr"/>
      <c r="O62" s="16" t="inlineStr">
        <is>
          <t>vhdl/buffered_axi_lite_uart.vhd</t>
        </is>
      </c>
      <c r="P62" s="16" t="inlineStr">
        <is>
          <t>RTL</t>
        </is>
      </c>
      <c r="Q62" s="16" t="inlineStr">
        <is>
          <t>NOT_RUN</t>
        </is>
      </c>
      <c r="R62" s="16" t="inlineStr"/>
      <c r="S62" s="16" t="inlineStr"/>
      <c r="T62" s="16" t="inlineStr"/>
      <c r="U62" s="16" t="inlineStr">
        <is>
          <t>NOT_RUN</t>
        </is>
      </c>
      <c r="V62" s="16" t="inlineStr"/>
      <c r="W62" s="16" t="inlineStr"/>
      <c r="X62" s="17">
        <f>IF(K62="WAIVED","WAIVED",IF(H62="","OPEN",IF(Q62="PASS",IF(Y62&lt;&gt;"","CLOSED","PASSING"),IF(Q62="FAIL","FAILING","COVERED"))))</f>
        <v/>
      </c>
      <c r="Y62" s="16" t="inlineStr"/>
      <c r="Z62" s="16" t="inlineStr"/>
      <c r="AA62" s="16" t="inlineStr"/>
      <c r="AB62" s="16" t="inlineStr">
        <is>
          <t>1.0.0</t>
        </is>
      </c>
      <c r="AC62" s="16" t="inlineStr">
        <is>
          <t>ZUBoard 1CG / Basys 3</t>
        </is>
      </c>
      <c r="AD62" s="16" t="inlineStr">
        <is>
          <t>BALU-RS-001 Rev 0.4</t>
        </is>
      </c>
    </row>
    <row r="63">
      <c r="A63" s="16" t="inlineStr">
        <is>
          <t>UART-TO-007</t>
        </is>
      </c>
      <c r="B63" s="16" t="inlineStr">
        <is>
          <t>TO</t>
        </is>
      </c>
      <c r="C63" s="16" t="inlineStr">
        <is>
          <t>functional</t>
        </is>
      </c>
      <c r="D63" s="16" t="inlineStr">
        <is>
          <t>The Buffered AXI-Lite UART shall set the TIMEOUT bit in INT_STATUS when timeout expiry occurs, provided INT_ENABLE.TIMEOUT_EN is asserted at the time of expiry.</t>
        </is>
      </c>
      <c r="E63" s="16" t="inlineStr">
        <is>
          <t>BALU-RS-001</t>
        </is>
      </c>
      <c r="F63" s="16" t="inlineStr">
        <is>
          <t>§7.5</t>
        </is>
      </c>
      <c r="G63" s="16" t="inlineStr">
        <is>
          <t>test</t>
        </is>
      </c>
      <c r="H63" s="16" t="inlineStr">
        <is>
          <t>COV-019</t>
        </is>
      </c>
      <c r="I63" s="16" t="inlineStr">
        <is>
          <t>Drive TX_THRESH and RX_THRESH interrupt conditions, inject FRAME_ERR via stop-bit corruption, enable TIMEOUT interrupt; verify each INT_STATUS bit controlled by INT_ENABLE gate.</t>
        </is>
      </c>
      <c r="J63" s="16" t="inlineStr"/>
      <c r="K63" s="16" t="inlineStr">
        <is>
          <t>GENERATED</t>
        </is>
      </c>
      <c r="L63" s="16" t="inlineStr"/>
      <c r="M63" s="16" t="inlineStr"/>
      <c r="N63" s="16" t="inlineStr"/>
      <c r="O63" s="16" t="inlineStr">
        <is>
          <t>vhdl/buffered_axi_lite_uart.vhd</t>
        </is>
      </c>
      <c r="P63" s="16" t="inlineStr">
        <is>
          <t>RTL</t>
        </is>
      </c>
      <c r="Q63" s="16" t="inlineStr">
        <is>
          <t>NOT_RUN</t>
        </is>
      </c>
      <c r="R63" s="16" t="inlineStr"/>
      <c r="S63" s="16" t="inlineStr"/>
      <c r="T63" s="16" t="inlineStr"/>
      <c r="U63" s="16" t="inlineStr">
        <is>
          <t>NOT_RUN</t>
        </is>
      </c>
      <c r="V63" s="16" t="inlineStr"/>
      <c r="W63" s="16" t="inlineStr"/>
      <c r="X63" s="17">
        <f>IF(K63="WAIVED","WAIVED",IF(H63="","OPEN",IF(Q63="PASS",IF(Y63&lt;&gt;"","CLOSED","PASSING"),IF(Q63="FAIL","FAILING","COVERED"))))</f>
        <v/>
      </c>
      <c r="Y63" s="16" t="inlineStr"/>
      <c r="Z63" s="16" t="inlineStr"/>
      <c r="AA63" s="16" t="inlineStr"/>
      <c r="AB63" s="16" t="inlineStr">
        <is>
          <t>1.0.0</t>
        </is>
      </c>
      <c r="AC63" s="16" t="inlineStr">
        <is>
          <t>ZUBoard 1CG / Basys 3</t>
        </is>
      </c>
      <c r="AD63" s="16" t="inlineStr">
        <is>
          <t>BALU-RS-001 Rev 0.4</t>
        </is>
      </c>
    </row>
    <row r="64">
      <c r="A64" s="16" t="inlineStr">
        <is>
          <t>UART-INT-001</t>
        </is>
      </c>
      <c r="B64" s="16" t="inlineStr">
        <is>
          <t>INT</t>
        </is>
      </c>
      <c r="C64" s="16" t="inlineStr">
        <is>
          <t>functional</t>
        </is>
      </c>
      <c r="D64" s="16" t="inlineStr">
        <is>
          <t>The Buffered AXI-Lite UART shall provide eight interrupt sources: TIMEOUT, TX_THRESH, RX_THRESH, TX_EMPTY, RX_FULL, PARITY_ERR, FRAME_ERR, and OVERRUN.</t>
        </is>
      </c>
      <c r="E64" s="16" t="inlineStr">
        <is>
          <t>BALU-RS-001</t>
        </is>
      </c>
      <c r="F64" s="16" t="inlineStr">
        <is>
          <t>§7.6</t>
        </is>
      </c>
      <c r="G64" s="16" t="inlineStr">
        <is>
          <t>inspection</t>
        </is>
      </c>
      <c r="H64" s="16" t="inlineStr">
        <is>
          <t>COV-007</t>
        </is>
      </c>
      <c r="I64" s="16" t="inlineStr">
        <is>
          <t>Each of 8 interrupt sources set and cleared independently via directed stimulus; verify IRQ asserts and deasserts correctly for each bit.</t>
        </is>
      </c>
      <c r="J64" s="16" t="inlineStr"/>
      <c r="K64" s="16" t="inlineStr">
        <is>
          <t>GENERATED</t>
        </is>
      </c>
      <c r="L64" s="16" t="inlineStr"/>
      <c r="M64" s="16" t="inlineStr"/>
      <c r="N64" s="16" t="inlineStr"/>
      <c r="O64" s="16" t="inlineStr">
        <is>
          <t>vhdl/buffered_axi_lite_uart.vhd</t>
        </is>
      </c>
      <c r="P64" s="16" t="inlineStr">
        <is>
          <t>RTL</t>
        </is>
      </c>
      <c r="Q64" s="16" t="inlineStr">
        <is>
          <t>NOT_RUN</t>
        </is>
      </c>
      <c r="R64" s="16" t="inlineStr"/>
      <c r="S64" s="16" t="inlineStr"/>
      <c r="T64" s="16" t="inlineStr"/>
      <c r="U64" s="16" t="inlineStr">
        <is>
          <t>NOT_RUN</t>
        </is>
      </c>
      <c r="V64" s="16" t="inlineStr"/>
      <c r="W64" s="16" t="inlineStr"/>
      <c r="X64" s="17">
        <f>IF(K64="WAIVED","WAIVED",IF(H64="","OPEN",IF(Q64="PASS",IF(Y64&lt;&gt;"","CLOSED","PASSING"),IF(Q64="FAIL","FAILING","COVERED"))))</f>
        <v/>
      </c>
      <c r="Y64" s="16" t="inlineStr"/>
      <c r="Z64" s="16" t="inlineStr"/>
      <c r="AA64" s="16" t="inlineStr"/>
      <c r="AB64" s="16" t="inlineStr">
        <is>
          <t>1.0.0</t>
        </is>
      </c>
      <c r="AC64" s="16" t="inlineStr">
        <is>
          <t>ZUBoard 1CG / Basys 3</t>
        </is>
      </c>
      <c r="AD64" s="16" t="inlineStr">
        <is>
          <t>BALU-RS-001 Rev 0.4</t>
        </is>
      </c>
    </row>
    <row r="65">
      <c r="A65" s="16" t="inlineStr">
        <is>
          <t>UART-INT-002</t>
        </is>
      </c>
      <c r="B65" s="16" t="inlineStr">
        <is>
          <t>INT</t>
        </is>
      </c>
      <c r="C65" s="16" t="inlineStr">
        <is>
          <t>functional</t>
        </is>
      </c>
      <c r="D65" s="16" t="inlineStr">
        <is>
          <t>The Buffered AXI-Lite UART shall implement sticky INT_STATUS bits. Once set by a hardware event each bit shall remain set until software writes 1 to the corresponding INT_CLEAR bit.</t>
        </is>
      </c>
      <c r="E65" s="16" t="inlineStr">
        <is>
          <t>BALU-RS-001</t>
        </is>
      </c>
      <c r="F65" s="16" t="inlineStr">
        <is>
          <t>§7.6</t>
        </is>
      </c>
      <c r="G65" s="16" t="inlineStr">
        <is>
          <t>test</t>
        </is>
      </c>
      <c r="H65" s="16" t="inlineStr">
        <is>
          <t>COV-007, COV-009</t>
        </is>
      </c>
      <c r="I65" s="16" t="inlineStr">
        <is>
          <t>Each of 8 interrupt sources set and cleared independently via directed stimulus; verify IRQ asserts and deasserts correctly for each bit.</t>
        </is>
      </c>
      <c r="J65" s="16" t="inlineStr"/>
      <c r="K65" s="16" t="inlineStr">
        <is>
          <t>GENERATED</t>
        </is>
      </c>
      <c r="L65" s="16" t="inlineStr"/>
      <c r="M65" s="16" t="inlineStr"/>
      <c r="N65" s="16" t="inlineStr"/>
      <c r="O65" s="16" t="inlineStr">
        <is>
          <t>vhdl/buffered_axi_lite_uart.vhd</t>
        </is>
      </c>
      <c r="P65" s="16" t="inlineStr">
        <is>
          <t>RTL</t>
        </is>
      </c>
      <c r="Q65" s="16" t="inlineStr">
        <is>
          <t>NOT_RUN</t>
        </is>
      </c>
      <c r="R65" s="16" t="inlineStr"/>
      <c r="S65" s="16" t="inlineStr"/>
      <c r="T65" s="16" t="inlineStr"/>
      <c r="U65" s="16" t="inlineStr">
        <is>
          <t>NOT_RUN</t>
        </is>
      </c>
      <c r="V65" s="16" t="inlineStr"/>
      <c r="W65" s="16" t="inlineStr"/>
      <c r="X65" s="17">
        <f>IF(K65="WAIVED","WAIVED",IF(H65="","OPEN",IF(Q65="PASS",IF(Y65&lt;&gt;"","CLOSED","PASSING"),IF(Q65="FAIL","FAILING","COVERED"))))</f>
        <v/>
      </c>
      <c r="Y65" s="16" t="inlineStr"/>
      <c r="Z65" s="16" t="inlineStr"/>
      <c r="AA65" s="16" t="inlineStr"/>
      <c r="AB65" s="16" t="inlineStr">
        <is>
          <t>1.0.0</t>
        </is>
      </c>
      <c r="AC65" s="16" t="inlineStr">
        <is>
          <t>ZUBoard 1CG / Basys 3</t>
        </is>
      </c>
      <c r="AD65" s="16" t="inlineStr">
        <is>
          <t>BALU-RS-001 Rev 0.4</t>
        </is>
      </c>
    </row>
    <row r="66">
      <c r="A66" s="16" t="inlineStr">
        <is>
          <t>UART-INT-003</t>
        </is>
      </c>
      <c r="B66" s="16" t="inlineStr">
        <is>
          <t>INT</t>
        </is>
      </c>
      <c r="C66" s="16" t="inlineStr">
        <is>
          <t>functional</t>
        </is>
      </c>
      <c r="D66" s="16" t="inlineStr">
        <is>
          <t>The Buffered AXI-Lite UART shall retain INT_STATUS bits when the underlying hardware condition clears. INT_STATUS bits shall not self-clear.</t>
        </is>
      </c>
      <c r="E66" s="16" t="inlineStr">
        <is>
          <t>BALU-RS-001</t>
        </is>
      </c>
      <c r="F66" s="16" t="inlineStr">
        <is>
          <t>§7.6</t>
        </is>
      </c>
      <c r="G66" s="16" t="inlineStr">
        <is>
          <t>test</t>
        </is>
      </c>
      <c r="H66" s="16" t="inlineStr">
        <is>
          <t>COV-007</t>
        </is>
      </c>
      <c r="I66" s="16" t="inlineStr">
        <is>
          <t>Each of 8 interrupt sources set and cleared independently via directed stimulus; verify IRQ asserts and deasserts correctly for each bit.</t>
        </is>
      </c>
      <c r="J66" s="16" t="inlineStr"/>
      <c r="K66" s="16" t="inlineStr">
        <is>
          <t>GENERATED</t>
        </is>
      </c>
      <c r="L66" s="16" t="inlineStr"/>
      <c r="M66" s="16" t="inlineStr"/>
      <c r="N66" s="16" t="inlineStr"/>
      <c r="O66" s="16" t="inlineStr">
        <is>
          <t>vhdl/buffered_axi_lite_uart.vhd</t>
        </is>
      </c>
      <c r="P66" s="16" t="inlineStr">
        <is>
          <t>RTL</t>
        </is>
      </c>
      <c r="Q66" s="16" t="inlineStr">
        <is>
          <t>NOT_RUN</t>
        </is>
      </c>
      <c r="R66" s="16" t="inlineStr"/>
      <c r="S66" s="16" t="inlineStr"/>
      <c r="T66" s="16" t="inlineStr"/>
      <c r="U66" s="16" t="inlineStr">
        <is>
          <t>NOT_RUN</t>
        </is>
      </c>
      <c r="V66" s="16" t="inlineStr"/>
      <c r="W66" s="16" t="inlineStr"/>
      <c r="X66" s="17">
        <f>IF(K66="WAIVED","WAIVED",IF(H66="","OPEN",IF(Q66="PASS",IF(Y66&lt;&gt;"","CLOSED","PASSING"),IF(Q66="FAIL","FAILING","COVERED"))))</f>
        <v/>
      </c>
      <c r="Y66" s="16" t="inlineStr"/>
      <c r="Z66" s="16" t="inlineStr"/>
      <c r="AA66" s="16" t="inlineStr"/>
      <c r="AB66" s="16" t="inlineStr">
        <is>
          <t>1.0.0</t>
        </is>
      </c>
      <c r="AC66" s="16" t="inlineStr">
        <is>
          <t>ZUBoard 1CG / Basys 3</t>
        </is>
      </c>
      <c r="AD66" s="16" t="inlineStr">
        <is>
          <t>BALU-RS-001 Rev 0.4</t>
        </is>
      </c>
    </row>
    <row r="67">
      <c r="A67" s="16" t="inlineStr">
        <is>
          <t>UART-INT-004</t>
        </is>
      </c>
      <c r="B67" s="16" t="inlineStr">
        <is>
          <t>INT</t>
        </is>
      </c>
      <c r="C67" s="16" t="inlineStr">
        <is>
          <t>functional</t>
        </is>
      </c>
      <c r="D67" s="16" t="inlineStr">
        <is>
          <t>The Buffered AXI-Lite UART shall produce no effect on INT_STATUS when 0 is written to any INT_CLEAR bit.</t>
        </is>
      </c>
      <c r="E67" s="16" t="inlineStr">
        <is>
          <t>BALU-RS-001</t>
        </is>
      </c>
      <c r="F67" s="16" t="inlineStr">
        <is>
          <t>§7.6</t>
        </is>
      </c>
      <c r="G67" s="16" t="inlineStr">
        <is>
          <t>test</t>
        </is>
      </c>
      <c r="H67" s="16" t="inlineStr">
        <is>
          <t>COV-007</t>
        </is>
      </c>
      <c r="I67" s="16" t="inlineStr">
        <is>
          <t>Each of 8 interrupt sources set and cleared independently via directed stimulus; verify IRQ asserts and deasserts correctly for each bit.</t>
        </is>
      </c>
      <c r="J67" s="16" t="inlineStr"/>
      <c r="K67" s="16" t="inlineStr">
        <is>
          <t>GENERATED</t>
        </is>
      </c>
      <c r="L67" s="16" t="inlineStr"/>
      <c r="M67" s="16" t="inlineStr"/>
      <c r="N67" s="16" t="inlineStr"/>
      <c r="O67" s="16" t="inlineStr">
        <is>
          <t>vhdl/buffered_axi_lite_uart.vhd</t>
        </is>
      </c>
      <c r="P67" s="16" t="inlineStr">
        <is>
          <t>RTL</t>
        </is>
      </c>
      <c r="Q67" s="16" t="inlineStr">
        <is>
          <t>NOT_RUN</t>
        </is>
      </c>
      <c r="R67" s="16" t="inlineStr"/>
      <c r="S67" s="16" t="inlineStr"/>
      <c r="T67" s="16" t="inlineStr"/>
      <c r="U67" s="16" t="inlineStr">
        <is>
          <t>NOT_RUN</t>
        </is>
      </c>
      <c r="V67" s="16" t="inlineStr"/>
      <c r="W67" s="16" t="inlineStr"/>
      <c r="X67" s="17">
        <f>IF(K67="WAIVED","WAIVED",IF(H67="","OPEN",IF(Q67="PASS",IF(Y67&lt;&gt;"","CLOSED","PASSING"),IF(Q67="FAIL","FAILING","COVERED"))))</f>
        <v/>
      </c>
      <c r="Y67" s="16" t="inlineStr"/>
      <c r="Z67" s="16" t="inlineStr"/>
      <c r="AA67" s="16" t="inlineStr"/>
      <c r="AB67" s="16" t="inlineStr">
        <is>
          <t>1.0.0</t>
        </is>
      </c>
      <c r="AC67" s="16" t="inlineStr">
        <is>
          <t>ZUBoard 1CG / Basys 3</t>
        </is>
      </c>
      <c r="AD67" s="16" t="inlineStr">
        <is>
          <t>BALU-RS-001 Rev 0.4</t>
        </is>
      </c>
    </row>
    <row r="68">
      <c r="A68" s="16" t="inlineStr">
        <is>
          <t>UART-INT-005</t>
        </is>
      </c>
      <c r="B68" s="16" t="inlineStr">
        <is>
          <t>INT</t>
        </is>
      </c>
      <c r="C68" s="16" t="inlineStr">
        <is>
          <t>functional</t>
        </is>
      </c>
      <c r="D68" s="16" t="inlineStr">
        <is>
          <t>The Buffered AXI-Lite UART shall return zero on all reads of INT_CLEAR.</t>
        </is>
      </c>
      <c r="E68" s="16" t="inlineStr">
        <is>
          <t>BALU-RS-001</t>
        </is>
      </c>
      <c r="F68" s="16" t="inlineStr">
        <is>
          <t>§7.6</t>
        </is>
      </c>
      <c r="G68" s="16" t="inlineStr">
        <is>
          <t>test</t>
        </is>
      </c>
      <c r="H68" s="16" t="inlineStr">
        <is>
          <t>COV-007</t>
        </is>
      </c>
      <c r="I68" s="16" t="inlineStr">
        <is>
          <t>Each of 8 interrupt sources set and cleared independently via directed stimulus; verify IRQ asserts and deasserts correctly for each bit.</t>
        </is>
      </c>
      <c r="J68" s="16" t="inlineStr"/>
      <c r="K68" s="16" t="inlineStr">
        <is>
          <t>GENERATED</t>
        </is>
      </c>
      <c r="L68" s="16" t="inlineStr"/>
      <c r="M68" s="16" t="inlineStr"/>
      <c r="N68" s="16" t="inlineStr"/>
      <c r="O68" s="16" t="inlineStr">
        <is>
          <t>vhdl/buffered_axi_lite_uart.vhd</t>
        </is>
      </c>
      <c r="P68" s="16" t="inlineStr">
        <is>
          <t>RTL</t>
        </is>
      </c>
      <c r="Q68" s="16" t="inlineStr">
        <is>
          <t>NOT_RUN</t>
        </is>
      </c>
      <c r="R68" s="16" t="inlineStr"/>
      <c r="S68" s="16" t="inlineStr"/>
      <c r="T68" s="16" t="inlineStr"/>
      <c r="U68" s="16" t="inlineStr">
        <is>
          <t>NOT_RUN</t>
        </is>
      </c>
      <c r="V68" s="16" t="inlineStr"/>
      <c r="W68" s="16" t="inlineStr"/>
      <c r="X68" s="17">
        <f>IF(K68="WAIVED","WAIVED",IF(H68="","OPEN",IF(Q68="PASS",IF(Y68&lt;&gt;"","CLOSED","PASSING"),IF(Q68="FAIL","FAILING","COVERED"))))</f>
        <v/>
      </c>
      <c r="Y68" s="16" t="inlineStr"/>
      <c r="Z68" s="16" t="inlineStr"/>
      <c r="AA68" s="16" t="inlineStr"/>
      <c r="AB68" s="16" t="inlineStr">
        <is>
          <t>1.0.0</t>
        </is>
      </c>
      <c r="AC68" s="16" t="inlineStr">
        <is>
          <t>ZUBoard 1CG / Basys 3</t>
        </is>
      </c>
      <c r="AD68" s="16" t="inlineStr">
        <is>
          <t>BALU-RS-001 Rev 0.4</t>
        </is>
      </c>
    </row>
    <row r="69">
      <c r="A69" s="16" t="inlineStr">
        <is>
          <t>UART-INT-006</t>
        </is>
      </c>
      <c r="B69" s="16" t="inlineStr">
        <is>
          <t>INT</t>
        </is>
      </c>
      <c r="C69" s="16" t="inlineStr">
        <is>
          <t>functional</t>
        </is>
      </c>
      <c r="D69" s="16" t="inlineStr">
        <is>
          <t>The Buffered AXI-Lite UART shall reset INT_ENABLE to 0x00, masking all interrupt sources at power-on.</t>
        </is>
      </c>
      <c r="E69" s="16" t="inlineStr">
        <is>
          <t>BALU-RS-001</t>
        </is>
      </c>
      <c r="F69" s="16" t="inlineStr">
        <is>
          <t>§7.6</t>
        </is>
      </c>
      <c r="G69" s="16" t="inlineStr">
        <is>
          <t>test</t>
        </is>
      </c>
      <c r="H69" s="16" t="inlineStr">
        <is>
          <t>COV-007</t>
        </is>
      </c>
      <c r="I69" s="16" t="inlineStr">
        <is>
          <t>Each of 8 interrupt sources set and cleared independently via directed stimulus; verify IRQ asserts and deasserts correctly for each bit.</t>
        </is>
      </c>
      <c r="J69" s="16" t="inlineStr"/>
      <c r="K69" s="16" t="inlineStr">
        <is>
          <t>GENERATED</t>
        </is>
      </c>
      <c r="L69" s="16" t="inlineStr"/>
      <c r="M69" s="16" t="inlineStr"/>
      <c r="N69" s="16" t="inlineStr"/>
      <c r="O69" s="16" t="inlineStr">
        <is>
          <t>vhdl/buffered_axi_lite_uart.vhd</t>
        </is>
      </c>
      <c r="P69" s="16" t="inlineStr">
        <is>
          <t>RTL</t>
        </is>
      </c>
      <c r="Q69" s="16" t="inlineStr">
        <is>
          <t>NOT_RUN</t>
        </is>
      </c>
      <c r="R69" s="16" t="inlineStr"/>
      <c r="S69" s="16" t="inlineStr"/>
      <c r="T69" s="16" t="inlineStr"/>
      <c r="U69" s="16" t="inlineStr">
        <is>
          <t>NOT_RUN</t>
        </is>
      </c>
      <c r="V69" s="16" t="inlineStr"/>
      <c r="W69" s="16" t="inlineStr"/>
      <c r="X69" s="17">
        <f>IF(K69="WAIVED","WAIVED",IF(H69="","OPEN",IF(Q69="PASS",IF(Y69&lt;&gt;"","CLOSED","PASSING"),IF(Q69="FAIL","FAILING","COVERED"))))</f>
        <v/>
      </c>
      <c r="Y69" s="16" t="inlineStr"/>
      <c r="Z69" s="16" t="inlineStr"/>
      <c r="AA69" s="16" t="inlineStr"/>
      <c r="AB69" s="16" t="inlineStr">
        <is>
          <t>1.0.0</t>
        </is>
      </c>
      <c r="AC69" s="16" t="inlineStr">
        <is>
          <t>ZUBoard 1CG / Basys 3</t>
        </is>
      </c>
      <c r="AD69" s="16" t="inlineStr">
        <is>
          <t>BALU-RS-001 Rev 0.4</t>
        </is>
      </c>
    </row>
    <row r="70">
      <c r="A70" s="16" t="inlineStr">
        <is>
          <t>UART-INT-007</t>
        </is>
      </c>
      <c r="B70" s="16" t="inlineStr">
        <is>
          <t>INT</t>
        </is>
      </c>
      <c r="C70" s="16" t="inlineStr">
        <is>
          <t>functional</t>
        </is>
      </c>
      <c r="D70" s="16" t="inlineStr">
        <is>
          <t>The Buffered AXI-Lite UART shall assert the top-level IRQ output when any INT_STATUS bit is set and its corresponding INT_ENABLE bit is asserted.</t>
        </is>
      </c>
      <c r="E70" s="16" t="inlineStr">
        <is>
          <t>BALU-RS-001</t>
        </is>
      </c>
      <c r="F70" s="16" t="inlineStr">
        <is>
          <t>§7.6</t>
        </is>
      </c>
      <c r="G70" s="16" t="inlineStr">
        <is>
          <t>test</t>
        </is>
      </c>
      <c r="H70" s="16" t="inlineStr">
        <is>
          <t>COV-007</t>
        </is>
      </c>
      <c r="I70" s="16" t="inlineStr">
        <is>
          <t>Each of 8 interrupt sources set and cleared independently via directed stimulus; verify IRQ asserts and deasserts correctly for each bit.</t>
        </is>
      </c>
      <c r="J70" s="16" t="inlineStr"/>
      <c r="K70" s="16" t="inlineStr">
        <is>
          <t>GENERATED</t>
        </is>
      </c>
      <c r="L70" s="16" t="inlineStr"/>
      <c r="M70" s="16" t="inlineStr"/>
      <c r="N70" s="16" t="inlineStr"/>
      <c r="O70" s="16" t="inlineStr">
        <is>
          <t>vhdl/buffered_axi_lite_uart.vhd</t>
        </is>
      </c>
      <c r="P70" s="16" t="inlineStr">
        <is>
          <t>RTL</t>
        </is>
      </c>
      <c r="Q70" s="16" t="inlineStr">
        <is>
          <t>NOT_RUN</t>
        </is>
      </c>
      <c r="R70" s="16" t="inlineStr"/>
      <c r="S70" s="16" t="inlineStr"/>
      <c r="T70" s="16" t="inlineStr"/>
      <c r="U70" s="16" t="inlineStr">
        <is>
          <t>NOT_RUN</t>
        </is>
      </c>
      <c r="V70" s="16" t="inlineStr"/>
      <c r="W70" s="16" t="inlineStr"/>
      <c r="X70" s="17">
        <f>IF(K70="WAIVED","WAIVED",IF(H70="","OPEN",IF(Q70="PASS",IF(Y70&lt;&gt;"","CLOSED","PASSING"),IF(Q70="FAIL","FAILING","COVERED"))))</f>
        <v/>
      </c>
      <c r="Y70" s="16" t="inlineStr"/>
      <c r="Z70" s="16" t="inlineStr"/>
      <c r="AA70" s="16" t="inlineStr"/>
      <c r="AB70" s="16" t="inlineStr">
        <is>
          <t>1.0.0</t>
        </is>
      </c>
      <c r="AC70" s="16" t="inlineStr">
        <is>
          <t>ZUBoard 1CG / Basys 3</t>
        </is>
      </c>
      <c r="AD70" s="16" t="inlineStr">
        <is>
          <t>BALU-RS-001 Rev 0.4</t>
        </is>
      </c>
    </row>
    <row r="71">
      <c r="A71" s="16" t="inlineStr">
        <is>
          <t>UART-INT-008</t>
        </is>
      </c>
      <c r="B71" s="16" t="inlineStr">
        <is>
          <t>INT</t>
        </is>
      </c>
      <c r="C71" s="16" t="inlineStr">
        <is>
          <t>functional</t>
        </is>
      </c>
      <c r="D71" s="16" t="inlineStr">
        <is>
          <t>The Buffered AXI-Lite UART shall deassert the IRQ output when no INT_STATUS bit has a corresponding asserted INT_ENABLE bit.</t>
        </is>
      </c>
      <c r="E71" s="16" t="inlineStr">
        <is>
          <t>BALU-RS-001</t>
        </is>
      </c>
      <c r="F71" s="16" t="inlineStr">
        <is>
          <t>§7.6</t>
        </is>
      </c>
      <c r="G71" s="16" t="inlineStr">
        <is>
          <t>test</t>
        </is>
      </c>
      <c r="H71" s="16" t="inlineStr">
        <is>
          <t>COV-007, COV-009</t>
        </is>
      </c>
      <c r="I71" s="16" t="inlineStr">
        <is>
          <t>Each of 8 interrupt sources set and cleared independently via directed stimulus; verify IRQ asserts and deasserts correctly for each bit.</t>
        </is>
      </c>
      <c r="J71" s="16" t="inlineStr"/>
      <c r="K71" s="16" t="inlineStr">
        <is>
          <t>GENERATED</t>
        </is>
      </c>
      <c r="L71" s="16" t="inlineStr"/>
      <c r="M71" s="16" t="inlineStr"/>
      <c r="N71" s="16" t="inlineStr"/>
      <c r="O71" s="16" t="inlineStr">
        <is>
          <t>vhdl/buffered_axi_lite_uart.vhd</t>
        </is>
      </c>
      <c r="P71" s="16" t="inlineStr">
        <is>
          <t>RTL</t>
        </is>
      </c>
      <c r="Q71" s="16" t="inlineStr">
        <is>
          <t>NOT_RUN</t>
        </is>
      </c>
      <c r="R71" s="16" t="inlineStr"/>
      <c r="S71" s="16" t="inlineStr"/>
      <c r="T71" s="16" t="inlineStr"/>
      <c r="U71" s="16" t="inlineStr">
        <is>
          <t>NOT_RUN</t>
        </is>
      </c>
      <c r="V71" s="16" t="inlineStr"/>
      <c r="W71" s="16" t="inlineStr"/>
      <c r="X71" s="17">
        <f>IF(K71="WAIVED","WAIVED",IF(H71="","OPEN",IF(Q71="PASS",IF(Y71&lt;&gt;"","CLOSED","PASSING"),IF(Q71="FAIL","FAILING","COVERED"))))</f>
        <v/>
      </c>
      <c r="Y71" s="16" t="inlineStr"/>
      <c r="Z71" s="16" t="inlineStr"/>
      <c r="AA71" s="16" t="inlineStr"/>
      <c r="AB71" s="16" t="inlineStr">
        <is>
          <t>1.0.0</t>
        </is>
      </c>
      <c r="AC71" s="16" t="inlineStr">
        <is>
          <t>ZUBoard 1CG / Basys 3</t>
        </is>
      </c>
      <c r="AD71" s="16" t="inlineStr">
        <is>
          <t>BALU-RS-001 Rev 0.4</t>
        </is>
      </c>
    </row>
    <row r="72">
      <c r="A72" s="16" t="inlineStr">
        <is>
          <t>UART-INT-009</t>
        </is>
      </c>
      <c r="B72" s="16" t="inlineStr">
        <is>
          <t>INT</t>
        </is>
      </c>
      <c r="C72" s="16" t="inlineStr">
        <is>
          <t>functional</t>
        </is>
      </c>
      <c r="D72" s="16" t="inlineStr">
        <is>
          <t>The Buffered AXI-Lite UART shall set TX_THRESH in INT_STATUS when TX FIFO occupancy falls strictly below FIFO_CTRL.TX_THRESH.</t>
        </is>
      </c>
      <c r="E72" s="16" t="inlineStr">
        <is>
          <t>BALU-RS-001</t>
        </is>
      </c>
      <c r="F72" s="16" t="inlineStr">
        <is>
          <t>§7.6</t>
        </is>
      </c>
      <c r="G72" s="16" t="inlineStr">
        <is>
          <t>test</t>
        </is>
      </c>
      <c r="H72" s="16" t="inlineStr">
        <is>
          <t>COV-019</t>
        </is>
      </c>
      <c r="I72" s="16" t="inlineStr">
        <is>
          <t>Drive TX_THRESH and RX_THRESH interrupt conditions, inject FRAME_ERR via stop-bit corruption, enable TIMEOUT interrupt; verify each INT_STATUS bit controlled by INT_ENABLE gate.</t>
        </is>
      </c>
      <c r="J72" s="16" t="inlineStr"/>
      <c r="K72" s="16" t="inlineStr">
        <is>
          <t>GENERATED</t>
        </is>
      </c>
      <c r="L72" s="16" t="inlineStr"/>
      <c r="M72" s="16" t="inlineStr"/>
      <c r="N72" s="16" t="inlineStr"/>
      <c r="O72" s="16" t="inlineStr">
        <is>
          <t>vhdl/buffered_axi_lite_uart.vhd</t>
        </is>
      </c>
      <c r="P72" s="16" t="inlineStr">
        <is>
          <t>RTL</t>
        </is>
      </c>
      <c r="Q72" s="16" t="inlineStr">
        <is>
          <t>NOT_RUN</t>
        </is>
      </c>
      <c r="R72" s="16" t="inlineStr"/>
      <c r="S72" s="16" t="inlineStr"/>
      <c r="T72" s="16" t="inlineStr"/>
      <c r="U72" s="16" t="inlineStr">
        <is>
          <t>NOT_RUN</t>
        </is>
      </c>
      <c r="V72" s="16" t="inlineStr"/>
      <c r="W72" s="16" t="inlineStr"/>
      <c r="X72" s="17">
        <f>IF(K72="WAIVED","WAIVED",IF(H72="","OPEN",IF(Q72="PASS",IF(Y72&lt;&gt;"","CLOSED","PASSING"),IF(Q72="FAIL","FAILING","COVERED"))))</f>
        <v/>
      </c>
      <c r="Y72" s="16" t="inlineStr"/>
      <c r="Z72" s="16" t="inlineStr"/>
      <c r="AA72" s="16" t="inlineStr"/>
      <c r="AB72" s="16" t="inlineStr">
        <is>
          <t>1.0.0</t>
        </is>
      </c>
      <c r="AC72" s="16" t="inlineStr">
        <is>
          <t>ZUBoard 1CG / Basys 3</t>
        </is>
      </c>
      <c r="AD72" s="16" t="inlineStr">
        <is>
          <t>BALU-RS-001 Rev 0.4</t>
        </is>
      </c>
    </row>
    <row r="73">
      <c r="A73" s="16" t="inlineStr">
        <is>
          <t>UART-INT-010</t>
        </is>
      </c>
      <c r="B73" s="16" t="inlineStr">
        <is>
          <t>INT</t>
        </is>
      </c>
      <c r="C73" s="16" t="inlineStr">
        <is>
          <t>functional</t>
        </is>
      </c>
      <c r="D73" s="16" t="inlineStr">
        <is>
          <t>The Buffered AXI-Lite UART shall set RX_THRESH in INT_STATUS when RX FIFO occupancy rises strictly above FIFO_CTRL.RX_THRESH.</t>
        </is>
      </c>
      <c r="E73" s="16" t="inlineStr">
        <is>
          <t>BALU-RS-001</t>
        </is>
      </c>
      <c r="F73" s="16" t="inlineStr">
        <is>
          <t>§7.6</t>
        </is>
      </c>
      <c r="G73" s="16" t="inlineStr">
        <is>
          <t>test</t>
        </is>
      </c>
      <c r="H73" s="16" t="inlineStr">
        <is>
          <t>COV-019</t>
        </is>
      </c>
      <c r="I73" s="16" t="inlineStr">
        <is>
          <t>Drive TX_THRESH and RX_THRESH interrupt conditions, inject FRAME_ERR via stop-bit corruption, enable TIMEOUT interrupt; verify each INT_STATUS bit controlled by INT_ENABLE gate.</t>
        </is>
      </c>
      <c r="J73" s="16" t="inlineStr"/>
      <c r="K73" s="16" t="inlineStr">
        <is>
          <t>GENERATED</t>
        </is>
      </c>
      <c r="L73" s="16" t="inlineStr"/>
      <c r="M73" s="16" t="inlineStr"/>
      <c r="N73" s="16" t="inlineStr"/>
      <c r="O73" s="16" t="inlineStr">
        <is>
          <t>vhdl/buffered_axi_lite_uart.vhd</t>
        </is>
      </c>
      <c r="P73" s="16" t="inlineStr">
        <is>
          <t>RTL</t>
        </is>
      </c>
      <c r="Q73" s="16" t="inlineStr">
        <is>
          <t>NOT_RUN</t>
        </is>
      </c>
      <c r="R73" s="16" t="inlineStr"/>
      <c r="S73" s="16" t="inlineStr"/>
      <c r="T73" s="16" t="inlineStr"/>
      <c r="U73" s="16" t="inlineStr">
        <is>
          <t>NOT_RUN</t>
        </is>
      </c>
      <c r="V73" s="16" t="inlineStr"/>
      <c r="W73" s="16" t="inlineStr"/>
      <c r="X73" s="17">
        <f>IF(K73="WAIVED","WAIVED",IF(H73="","OPEN",IF(Q73="PASS",IF(Y73&lt;&gt;"","CLOSED","PASSING"),IF(Q73="FAIL","FAILING","COVERED"))))</f>
        <v/>
      </c>
      <c r="Y73" s="16" t="inlineStr"/>
      <c r="Z73" s="16" t="inlineStr"/>
      <c r="AA73" s="16" t="inlineStr"/>
      <c r="AB73" s="16" t="inlineStr">
        <is>
          <t>1.0.0</t>
        </is>
      </c>
      <c r="AC73" s="16" t="inlineStr">
        <is>
          <t>ZUBoard 1CG / Basys 3</t>
        </is>
      </c>
      <c r="AD73" s="16" t="inlineStr">
        <is>
          <t>BALU-RS-001 Rev 0.4</t>
        </is>
      </c>
    </row>
    <row r="74">
      <c r="A74" s="16" t="inlineStr">
        <is>
          <t>UART-INT-011</t>
        </is>
      </c>
      <c r="B74" s="16" t="inlineStr">
        <is>
          <t>INT</t>
        </is>
      </c>
      <c r="C74" s="16" t="inlineStr">
        <is>
          <t>functional</t>
        </is>
      </c>
      <c r="D74" s="16" t="inlineStr">
        <is>
          <t>The Buffered AXI-Lite UART shall set OVERRUN in INT_STATUS on each RX overrun event when INT_ENABLE.OVERRUN_EN is asserted.</t>
        </is>
      </c>
      <c r="E74" s="16" t="inlineStr">
        <is>
          <t>BALU-RS-001</t>
        </is>
      </c>
      <c r="F74" s="16" t="inlineStr">
        <is>
          <t>§7.6</t>
        </is>
      </c>
      <c r="G74" s="16" t="inlineStr">
        <is>
          <t>test</t>
        </is>
      </c>
      <c r="H74" s="16" t="inlineStr">
        <is>
          <t>COV-019</t>
        </is>
      </c>
      <c r="I74" s="16" t="inlineStr">
        <is>
          <t>Drive TX_THRESH and RX_THRESH interrupt conditions, inject FRAME_ERR via stop-bit corruption, enable TIMEOUT interrupt; verify each INT_STATUS bit controlled by INT_ENABLE gate.</t>
        </is>
      </c>
      <c r="J74" s="16" t="inlineStr"/>
      <c r="K74" s="16" t="inlineStr">
        <is>
          <t>GENERATED</t>
        </is>
      </c>
      <c r="L74" s="16" t="inlineStr"/>
      <c r="M74" s="16" t="inlineStr"/>
      <c r="N74" s="16" t="inlineStr"/>
      <c r="O74" s="16" t="inlineStr">
        <is>
          <t>vhdl/buffered_axi_lite_uart.vhd</t>
        </is>
      </c>
      <c r="P74" s="16" t="inlineStr">
        <is>
          <t>RTL</t>
        </is>
      </c>
      <c r="Q74" s="16" t="inlineStr">
        <is>
          <t>NOT_RUN</t>
        </is>
      </c>
      <c r="R74" s="16" t="inlineStr"/>
      <c r="S74" s="16" t="inlineStr"/>
      <c r="T74" s="16" t="inlineStr"/>
      <c r="U74" s="16" t="inlineStr">
        <is>
          <t>NOT_RUN</t>
        </is>
      </c>
      <c r="V74" s="16" t="inlineStr"/>
      <c r="W74" s="16" t="inlineStr"/>
      <c r="X74" s="17">
        <f>IF(K74="WAIVED","WAIVED",IF(H74="","OPEN",IF(Q74="PASS",IF(Y74&lt;&gt;"","CLOSED","PASSING"),IF(Q74="FAIL","FAILING","COVERED"))))</f>
        <v/>
      </c>
      <c r="Y74" s="16" t="inlineStr"/>
      <c r="Z74" s="16" t="inlineStr"/>
      <c r="AA74" s="16" t="inlineStr"/>
      <c r="AB74" s="16" t="inlineStr">
        <is>
          <t>1.0.0</t>
        </is>
      </c>
      <c r="AC74" s="16" t="inlineStr">
        <is>
          <t>ZUBoard 1CG / Basys 3</t>
        </is>
      </c>
      <c r="AD74" s="16" t="inlineStr">
        <is>
          <t>BALU-RS-001 Rev 0.4</t>
        </is>
      </c>
    </row>
    <row r="75">
      <c r="A75" s="16" t="inlineStr">
        <is>
          <t>UART-INT-012</t>
        </is>
      </c>
      <c r="B75" s="16" t="inlineStr">
        <is>
          <t>INT</t>
        </is>
      </c>
      <c r="C75" s="16" t="inlineStr">
        <is>
          <t>functional</t>
        </is>
      </c>
      <c r="D75" s="16" t="inlineStr">
        <is>
          <t>The Buffered AXI-Lite UART shall set PARITY_ERR in INT_STATUS on each parity error detection event when INT_ENABLE.PARITY_ERR_EN is asserted.</t>
        </is>
      </c>
      <c r="E75" s="16" t="inlineStr">
        <is>
          <t>BALU-RS-001</t>
        </is>
      </c>
      <c r="F75" s="16" t="inlineStr">
        <is>
          <t>§7.6</t>
        </is>
      </c>
      <c r="G75" s="16" t="inlineStr">
        <is>
          <t>test</t>
        </is>
      </c>
      <c r="H75" s="16" t="inlineStr">
        <is>
          <t>COV-019</t>
        </is>
      </c>
      <c r="I75" s="16" t="inlineStr">
        <is>
          <t>Drive TX_THRESH and RX_THRESH interrupt conditions, inject FRAME_ERR via stop-bit corruption, enable TIMEOUT interrupt; verify each INT_STATUS bit controlled by INT_ENABLE gate.</t>
        </is>
      </c>
      <c r="J75" s="16" t="inlineStr"/>
      <c r="K75" s="16" t="inlineStr">
        <is>
          <t>GENERATED</t>
        </is>
      </c>
      <c r="L75" s="16" t="inlineStr"/>
      <c r="M75" s="16" t="inlineStr"/>
      <c r="N75" s="16" t="inlineStr"/>
      <c r="O75" s="16" t="inlineStr">
        <is>
          <t>vhdl/buffered_axi_lite_uart.vhd</t>
        </is>
      </c>
      <c r="P75" s="16" t="inlineStr">
        <is>
          <t>RTL</t>
        </is>
      </c>
      <c r="Q75" s="16" t="inlineStr">
        <is>
          <t>NOT_RUN</t>
        </is>
      </c>
      <c r="R75" s="16" t="inlineStr"/>
      <c r="S75" s="16" t="inlineStr"/>
      <c r="T75" s="16" t="inlineStr"/>
      <c r="U75" s="16" t="inlineStr">
        <is>
          <t>NOT_RUN</t>
        </is>
      </c>
      <c r="V75" s="16" t="inlineStr"/>
      <c r="W75" s="16" t="inlineStr"/>
      <c r="X75" s="17">
        <f>IF(K75="WAIVED","WAIVED",IF(H75="","OPEN",IF(Q75="PASS",IF(Y75&lt;&gt;"","CLOSED","PASSING"),IF(Q75="FAIL","FAILING","COVERED"))))</f>
        <v/>
      </c>
      <c r="Y75" s="16" t="inlineStr"/>
      <c r="Z75" s="16" t="inlineStr"/>
      <c r="AA75" s="16" t="inlineStr"/>
      <c r="AB75" s="16" t="inlineStr">
        <is>
          <t>1.0.0</t>
        </is>
      </c>
      <c r="AC75" s="16" t="inlineStr">
        <is>
          <t>ZUBoard 1CG / Basys 3</t>
        </is>
      </c>
      <c r="AD75" s="16" t="inlineStr">
        <is>
          <t>BALU-RS-001 Rev 0.4</t>
        </is>
      </c>
    </row>
    <row r="76">
      <c r="A76" s="16" t="inlineStr">
        <is>
          <t>UART-INT-013</t>
        </is>
      </c>
      <c r="B76" s="16" t="inlineStr">
        <is>
          <t>INT</t>
        </is>
      </c>
      <c r="C76" s="16" t="inlineStr">
        <is>
          <t>functional</t>
        </is>
      </c>
      <c r="D76" s="16" t="inlineStr">
        <is>
          <t>The Buffered AXI-Lite UART shall set FRAME_ERR in INT_STATUS when a framing error is detected — specifically when the stop bit field does not contain a valid stop bit — when INT_ENABLE.FRAME_ERR_EN is asserted.</t>
        </is>
      </c>
      <c r="E76" s="16" t="inlineStr">
        <is>
          <t>BALU-RS-001</t>
        </is>
      </c>
      <c r="F76" s="16" t="inlineStr">
        <is>
          <t>§7.6</t>
        </is>
      </c>
      <c r="G76" s="16" t="inlineStr">
        <is>
          <t>test</t>
        </is>
      </c>
      <c r="H76" s="16" t="inlineStr">
        <is>
          <t>COV-019</t>
        </is>
      </c>
      <c r="I76" s="16" t="inlineStr">
        <is>
          <t>Drive TX_THRESH and RX_THRESH interrupt conditions, inject FRAME_ERR via stop-bit corruption, enable TIMEOUT interrupt; verify each INT_STATUS bit controlled by INT_ENABLE gate.</t>
        </is>
      </c>
      <c r="J76" s="16" t="inlineStr"/>
      <c r="K76" s="16" t="inlineStr">
        <is>
          <t>GENERATED</t>
        </is>
      </c>
      <c r="L76" s="16" t="inlineStr"/>
      <c r="M76" s="16" t="inlineStr"/>
      <c r="N76" s="16" t="inlineStr"/>
      <c r="O76" s="16" t="inlineStr">
        <is>
          <t>vhdl/buffered_axi_lite_uart.vhd</t>
        </is>
      </c>
      <c r="P76" s="16" t="inlineStr">
        <is>
          <t>RTL</t>
        </is>
      </c>
      <c r="Q76" s="16" t="inlineStr">
        <is>
          <t>NOT_RUN</t>
        </is>
      </c>
      <c r="R76" s="16" t="inlineStr"/>
      <c r="S76" s="16" t="inlineStr"/>
      <c r="T76" s="16" t="inlineStr"/>
      <c r="U76" s="16" t="inlineStr">
        <is>
          <t>NOT_RUN</t>
        </is>
      </c>
      <c r="V76" s="16" t="inlineStr"/>
      <c r="W76" s="16" t="inlineStr"/>
      <c r="X76" s="17">
        <f>IF(K76="WAIVED","WAIVED",IF(H76="","OPEN",IF(Q76="PASS",IF(Y76&lt;&gt;"","CLOSED","PASSING"),IF(Q76="FAIL","FAILING","COVERED"))))</f>
        <v/>
      </c>
      <c r="Y76" s="16" t="inlineStr"/>
      <c r="Z76" s="16" t="inlineStr"/>
      <c r="AA76" s="16" t="inlineStr"/>
      <c r="AB76" s="16" t="inlineStr">
        <is>
          <t>1.0.0</t>
        </is>
      </c>
      <c r="AC76" s="16" t="inlineStr">
        <is>
          <t>ZUBoard 1CG / Basys 3</t>
        </is>
      </c>
      <c r="AD76" s="16" t="inlineStr">
        <is>
          <t>BALU-RS-001 Rev 0.4</t>
        </is>
      </c>
    </row>
    <row r="77">
      <c r="A77" s="16" t="inlineStr">
        <is>
          <t>UART-REG-001</t>
        </is>
      </c>
      <c r="B77" s="16" t="inlineStr">
        <is>
          <t>REG</t>
        </is>
      </c>
      <c r="C77" s="16" t="inlineStr">
        <is>
          <t>structural</t>
        </is>
      </c>
      <c r="D77" s="16" t="inlineStr">
        <is>
          <t>The Buffered AXI-Lite UART shall locate all registers at 32-bit aligned offsets within the peripheral address space.</t>
        </is>
      </c>
      <c r="E77" s="16" t="inlineStr">
        <is>
          <t>BALU-RS-001</t>
        </is>
      </c>
      <c r="F77" s="16" t="inlineStr">
        <is>
          <t>§8.1</t>
        </is>
      </c>
      <c r="G77" s="16" t="inlineStr">
        <is>
          <t>inspection</t>
        </is>
      </c>
      <c r="H77" s="16" t="inlineStr">
        <is>
          <t>COV-010, COV-011</t>
        </is>
      </c>
      <c r="I77" s="16" t="inlineStr">
        <is>
          <t>AXI write to valid register offset (OKAY expected) and to undefined offset 0x30 (SLVERR expected); capture BRESP each time.</t>
        </is>
      </c>
      <c r="J77" s="16" t="inlineStr"/>
      <c r="K77" s="16" t="inlineStr">
        <is>
          <t>GENERATED</t>
        </is>
      </c>
      <c r="L77" s="16" t="inlineStr"/>
      <c r="M77" s="16" t="inlineStr"/>
      <c r="N77" s="16" t="inlineStr"/>
      <c r="O77" s="16" t="inlineStr">
        <is>
          <t>vhdl/buffered_axi_lite_uart.vhd</t>
        </is>
      </c>
      <c r="P77" s="16" t="inlineStr">
        <is>
          <t>RTL</t>
        </is>
      </c>
      <c r="Q77" s="16" t="inlineStr">
        <is>
          <t>NOT_RUN</t>
        </is>
      </c>
      <c r="R77" s="16" t="inlineStr"/>
      <c r="S77" s="16" t="inlineStr"/>
      <c r="T77" s="16" t="inlineStr"/>
      <c r="U77" s="16" t="inlineStr">
        <is>
          <t>NOT_RUN</t>
        </is>
      </c>
      <c r="V77" s="16" t="inlineStr"/>
      <c r="W77" s="16" t="inlineStr"/>
      <c r="X77" s="17">
        <f>IF(K77="WAIVED","WAIVED",IF(H77="","OPEN",IF(Q77="PASS",IF(Y77&lt;&gt;"","CLOSED","PASSING"),IF(Q77="FAIL","FAILING","COVERED"))))</f>
        <v/>
      </c>
      <c r="Y77" s="16" t="inlineStr"/>
      <c r="Z77" s="16" t="inlineStr"/>
      <c r="AA77" s="16" t="inlineStr"/>
      <c r="AB77" s="16" t="inlineStr">
        <is>
          <t>1.0.0</t>
        </is>
      </c>
      <c r="AC77" s="16" t="inlineStr">
        <is>
          <t>ZUBoard 1CG / Basys 3</t>
        </is>
      </c>
      <c r="AD77" s="16" t="inlineStr">
        <is>
          <t>BALU-RS-001 Rev 0.4</t>
        </is>
      </c>
    </row>
    <row r="78">
      <c r="A78" s="16" t="inlineStr">
        <is>
          <t>UART-REG-002</t>
        </is>
      </c>
      <c r="B78" s="16" t="inlineStr">
        <is>
          <t>REG</t>
        </is>
      </c>
      <c r="C78" s="16" t="inlineStr">
        <is>
          <t>structural</t>
        </is>
      </c>
      <c r="D78" s="16" t="inlineStr">
        <is>
          <t>The Buffered AXI-Lite UART shall return zero from all reserved fields on any read.</t>
        </is>
      </c>
      <c r="E78" s="16" t="inlineStr">
        <is>
          <t>BALU-RS-001</t>
        </is>
      </c>
      <c r="F78" s="16" t="inlineStr">
        <is>
          <t>§8.1</t>
        </is>
      </c>
      <c r="G78" s="16" t="inlineStr">
        <is>
          <t>test</t>
        </is>
      </c>
      <c r="H78" s="16" t="inlineStr">
        <is>
          <t>COV-018</t>
        </is>
      </c>
      <c r="I78" s="16" t="inlineStr">
        <is>
          <t>Write to each read-only register (STATUS, FIFO_STATUS, INT_STATUS, INT_CLEAR, TX_DATA reads, RX_DATA writes); read back and verify state unchanged.</t>
        </is>
      </c>
      <c r="J78" s="16" t="inlineStr"/>
      <c r="K78" s="16" t="inlineStr">
        <is>
          <t>GENERATED</t>
        </is>
      </c>
      <c r="L78" s="16" t="inlineStr"/>
      <c r="M78" s="16" t="inlineStr"/>
      <c r="N78" s="16" t="inlineStr"/>
      <c r="O78" s="16" t="inlineStr">
        <is>
          <t>vhdl/buffered_axi_lite_uart.vhd</t>
        </is>
      </c>
      <c r="P78" s="16" t="inlineStr">
        <is>
          <t>RTL</t>
        </is>
      </c>
      <c r="Q78" s="16" t="inlineStr">
        <is>
          <t>NOT_RUN</t>
        </is>
      </c>
      <c r="R78" s="16" t="inlineStr"/>
      <c r="S78" s="16" t="inlineStr"/>
      <c r="T78" s="16" t="inlineStr"/>
      <c r="U78" s="16" t="inlineStr">
        <is>
          <t>NOT_RUN</t>
        </is>
      </c>
      <c r="V78" s="16" t="inlineStr"/>
      <c r="W78" s="16" t="inlineStr"/>
      <c r="X78" s="17">
        <f>IF(K78="WAIVED","WAIVED",IF(H78="","OPEN",IF(Q78="PASS",IF(Y78&lt;&gt;"","CLOSED","PASSING"),IF(Q78="FAIL","FAILING","COVERED"))))</f>
        <v/>
      </c>
      <c r="Y78" s="16" t="inlineStr"/>
      <c r="Z78" s="16" t="inlineStr"/>
      <c r="AA78" s="16" t="inlineStr"/>
      <c r="AB78" s="16" t="inlineStr">
        <is>
          <t>1.0.0</t>
        </is>
      </c>
      <c r="AC78" s="16" t="inlineStr">
        <is>
          <t>ZUBoard 1CG / Basys 3</t>
        </is>
      </c>
      <c r="AD78" s="16" t="inlineStr">
        <is>
          <t>BALU-RS-001 Rev 0.4</t>
        </is>
      </c>
    </row>
    <row r="79">
      <c r="A79" s="16" t="inlineStr">
        <is>
          <t>UART-REG-003</t>
        </is>
      </c>
      <c r="B79" s="16" t="inlineStr">
        <is>
          <t>REG</t>
        </is>
      </c>
      <c r="C79" s="16" t="inlineStr">
        <is>
          <t>structural</t>
        </is>
      </c>
      <c r="D79" s="16" t="inlineStr">
        <is>
          <t>The Buffered AXI-Lite UART shall silently ignore writes to reserved fields, leaving reserved field content unchanged.</t>
        </is>
      </c>
      <c r="E79" s="16" t="inlineStr">
        <is>
          <t>BALU-RS-001</t>
        </is>
      </c>
      <c r="F79" s="16" t="inlineStr">
        <is>
          <t>§8.1</t>
        </is>
      </c>
      <c r="G79" s="16" t="inlineStr">
        <is>
          <t>test</t>
        </is>
      </c>
      <c r="H79" s="16" t="inlineStr">
        <is>
          <t>COV-018</t>
        </is>
      </c>
      <c r="I79" s="16" t="inlineStr">
        <is>
          <t>Write to each read-only register (STATUS, FIFO_STATUS, INT_STATUS, INT_CLEAR, TX_DATA reads, RX_DATA writes); read back and verify state unchanged.</t>
        </is>
      </c>
      <c r="J79" s="16" t="inlineStr"/>
      <c r="K79" s="16" t="inlineStr">
        <is>
          <t>GENERATED</t>
        </is>
      </c>
      <c r="L79" s="16" t="inlineStr"/>
      <c r="M79" s="16" t="inlineStr"/>
      <c r="N79" s="16" t="inlineStr"/>
      <c r="O79" s="16" t="inlineStr">
        <is>
          <t>vhdl/buffered_axi_lite_uart.vhd</t>
        </is>
      </c>
      <c r="P79" s="16" t="inlineStr">
        <is>
          <t>RTL</t>
        </is>
      </c>
      <c r="Q79" s="16" t="inlineStr">
        <is>
          <t>NOT_RUN</t>
        </is>
      </c>
      <c r="R79" s="16" t="inlineStr"/>
      <c r="S79" s="16" t="inlineStr"/>
      <c r="T79" s="16" t="inlineStr"/>
      <c r="U79" s="16" t="inlineStr">
        <is>
          <t>NOT_RUN</t>
        </is>
      </c>
      <c r="V79" s="16" t="inlineStr"/>
      <c r="W79" s="16" t="inlineStr"/>
      <c r="X79" s="17">
        <f>IF(K79="WAIVED","WAIVED",IF(H79="","OPEN",IF(Q79="PASS",IF(Y79&lt;&gt;"","CLOSED","PASSING"),IF(Q79="FAIL","FAILING","COVERED"))))</f>
        <v/>
      </c>
      <c r="Y79" s="16" t="inlineStr"/>
      <c r="Z79" s="16" t="inlineStr"/>
      <c r="AA79" s="16" t="inlineStr"/>
      <c r="AB79" s="16" t="inlineStr">
        <is>
          <t>1.0.0</t>
        </is>
      </c>
      <c r="AC79" s="16" t="inlineStr">
        <is>
          <t>ZUBoard 1CG / Basys 3</t>
        </is>
      </c>
      <c r="AD79" s="16" t="inlineStr">
        <is>
          <t>BALU-RS-001 Rev 0.4</t>
        </is>
      </c>
    </row>
    <row r="80">
      <c r="A80" s="16" t="inlineStr">
        <is>
          <t>UART-REG-004</t>
        </is>
      </c>
      <c r="B80" s="16" t="inlineStr">
        <is>
          <t>REG</t>
        </is>
      </c>
      <c r="C80" s="16" t="inlineStr">
        <is>
          <t>structural</t>
        </is>
      </c>
      <c r="D80" s="16" t="inlineStr">
        <is>
          <t>The Buffered AXI-Lite UART shall return all registers to their defined reset values following assertion of the peripheral reset input.</t>
        </is>
      </c>
      <c r="E80" s="16" t="inlineStr">
        <is>
          <t>BALU-RS-001</t>
        </is>
      </c>
      <c r="F80" s="16" t="inlineStr">
        <is>
          <t>§8.1</t>
        </is>
      </c>
      <c r="G80" s="16" t="inlineStr">
        <is>
          <t>test</t>
        </is>
      </c>
      <c r="H80" s="16" t="inlineStr">
        <is>
          <t>COV-015</t>
        </is>
      </c>
      <c r="I80" s="16" t="inlineStr">
        <is>
          <t>Assert then deassert reset; read all 12 registers and compare each field to the reset value specified in Table 8-x.</t>
        </is>
      </c>
      <c r="J80" s="16" t="inlineStr"/>
      <c r="K80" s="16" t="inlineStr">
        <is>
          <t>GENERATED</t>
        </is>
      </c>
      <c r="L80" s="16" t="inlineStr"/>
      <c r="M80" s="16" t="inlineStr"/>
      <c r="N80" s="16" t="inlineStr"/>
      <c r="O80" s="16" t="inlineStr">
        <is>
          <t>vhdl/buffered_axi_lite_uart.vhd</t>
        </is>
      </c>
      <c r="P80" s="16" t="inlineStr">
        <is>
          <t>RTL</t>
        </is>
      </c>
      <c r="Q80" s="16" t="inlineStr">
        <is>
          <t>NOT_RUN</t>
        </is>
      </c>
      <c r="R80" s="16" t="inlineStr"/>
      <c r="S80" s="16" t="inlineStr"/>
      <c r="T80" s="16" t="inlineStr"/>
      <c r="U80" s="16" t="inlineStr">
        <is>
          <t>NOT_RUN</t>
        </is>
      </c>
      <c r="V80" s="16" t="inlineStr"/>
      <c r="W80" s="16" t="inlineStr"/>
      <c r="X80" s="17">
        <f>IF(K80="WAIVED","WAIVED",IF(H80="","OPEN",IF(Q80="PASS",IF(Y80&lt;&gt;"","CLOSED","PASSING"),IF(Q80="FAIL","FAILING","COVERED"))))</f>
        <v/>
      </c>
      <c r="Y80" s="16" t="inlineStr"/>
      <c r="Z80" s="16" t="inlineStr"/>
      <c r="AA80" s="16" t="inlineStr"/>
      <c r="AB80" s="16" t="inlineStr">
        <is>
          <t>1.0.0</t>
        </is>
      </c>
      <c r="AC80" s="16" t="inlineStr">
        <is>
          <t>ZUBoard 1CG / Basys 3</t>
        </is>
      </c>
      <c r="AD80" s="16" t="inlineStr">
        <is>
          <t>BALU-RS-001 Rev 0.4</t>
        </is>
      </c>
    </row>
    <row r="81">
      <c r="A81" s="16" t="inlineStr">
        <is>
          <t>UART-REG-005</t>
        </is>
      </c>
      <c r="B81" s="16" t="inlineStr">
        <is>
          <t>REG</t>
        </is>
      </c>
      <c r="C81" s="16" t="inlineStr">
        <is>
          <t>structural</t>
        </is>
      </c>
      <c r="D81" s="16" t="inlineStr">
        <is>
          <t>The Buffered AXI-Lite UART shall assign CTRL[7] as the UART_EN master enable bit per UART-EN-001.</t>
        </is>
      </c>
      <c r="E81" s="16" t="inlineStr">
        <is>
          <t>BALU-RS-001</t>
        </is>
      </c>
      <c r="F81" s="16" t="inlineStr">
        <is>
          <t>§8.2</t>
        </is>
      </c>
      <c r="G81" s="16" t="inlineStr">
        <is>
          <t>test</t>
        </is>
      </c>
      <c r="H81" s="16" t="inlineStr">
        <is>
          <t>COV-016</t>
        </is>
      </c>
      <c r="I81" s="16" t="inlineStr">
        <is>
          <t>Deassert UART_EN and verify TX/RX halt; then independently gate TX_EN and RX_EN with UART_EN=1 to verify path isolation; set LOOP_EN and verify loopback active.</t>
        </is>
      </c>
      <c r="J81" s="16" t="inlineStr"/>
      <c r="K81" s="16" t="inlineStr">
        <is>
          <t>GENERATED</t>
        </is>
      </c>
      <c r="L81" s="16" t="inlineStr"/>
      <c r="M81" s="16" t="inlineStr"/>
      <c r="N81" s="16" t="inlineStr"/>
      <c r="O81" s="16" t="inlineStr">
        <is>
          <t>vhdl/buffered_axi_lite_uart.vhd</t>
        </is>
      </c>
      <c r="P81" s="16" t="inlineStr">
        <is>
          <t>RTL</t>
        </is>
      </c>
      <c r="Q81" s="16" t="inlineStr">
        <is>
          <t>NOT_RUN</t>
        </is>
      </c>
      <c r="R81" s="16" t="inlineStr"/>
      <c r="S81" s="16" t="inlineStr"/>
      <c r="T81" s="16" t="inlineStr"/>
      <c r="U81" s="16" t="inlineStr">
        <is>
          <t>NOT_RUN</t>
        </is>
      </c>
      <c r="V81" s="16" t="inlineStr"/>
      <c r="W81" s="16" t="inlineStr"/>
      <c r="X81" s="17">
        <f>IF(K81="WAIVED","WAIVED",IF(H81="","OPEN",IF(Q81="PASS",IF(Y81&lt;&gt;"","CLOSED","PASSING"),IF(Q81="FAIL","FAILING","COVERED"))))</f>
        <v/>
      </c>
      <c r="Y81" s="16" t="inlineStr"/>
      <c r="Z81" s="16" t="inlineStr"/>
      <c r="AA81" s="16" t="inlineStr"/>
      <c r="AB81" s="16" t="inlineStr">
        <is>
          <t>1.0.0</t>
        </is>
      </c>
      <c r="AC81" s="16" t="inlineStr">
        <is>
          <t>ZUBoard 1CG / Basys 3</t>
        </is>
      </c>
      <c r="AD81" s="16" t="inlineStr">
        <is>
          <t>BALU-RS-001 Rev 0.4</t>
        </is>
      </c>
    </row>
    <row r="82">
      <c r="A82" s="16" t="inlineStr">
        <is>
          <t>UART-REG-006</t>
        </is>
      </c>
      <c r="B82" s="16" t="inlineStr">
        <is>
          <t>REG</t>
        </is>
      </c>
      <c r="C82" s="16" t="inlineStr">
        <is>
          <t>structural</t>
        </is>
      </c>
      <c r="D82" s="16" t="inlineStr">
        <is>
          <t>The Buffered AXI-Lite UART shall assign CTRL[6] as the TX_EN transmit enable bit per UART-EN-002.</t>
        </is>
      </c>
      <c r="E82" s="16" t="inlineStr">
        <is>
          <t>BALU-RS-001</t>
        </is>
      </c>
      <c r="F82" s="16" t="inlineStr">
        <is>
          <t>§8.2</t>
        </is>
      </c>
      <c r="G82" s="16" t="inlineStr">
        <is>
          <t>test</t>
        </is>
      </c>
      <c r="H82" s="16" t="inlineStr">
        <is>
          <t>COV-016</t>
        </is>
      </c>
      <c r="I82" s="16" t="inlineStr">
        <is>
          <t>Deassert UART_EN and verify TX/RX halt; then independently gate TX_EN and RX_EN with UART_EN=1 to verify path isolation; set LOOP_EN and verify loopback active.</t>
        </is>
      </c>
      <c r="J82" s="16" t="inlineStr"/>
      <c r="K82" s="16" t="inlineStr">
        <is>
          <t>GENERATED</t>
        </is>
      </c>
      <c r="L82" s="16" t="inlineStr"/>
      <c r="M82" s="16" t="inlineStr"/>
      <c r="N82" s="16" t="inlineStr"/>
      <c r="O82" s="16" t="inlineStr">
        <is>
          <t>vhdl/buffered_axi_lite_uart.vhd</t>
        </is>
      </c>
      <c r="P82" s="16" t="inlineStr">
        <is>
          <t>RTL</t>
        </is>
      </c>
      <c r="Q82" s="16" t="inlineStr">
        <is>
          <t>NOT_RUN</t>
        </is>
      </c>
      <c r="R82" s="16" t="inlineStr"/>
      <c r="S82" s="16" t="inlineStr"/>
      <c r="T82" s="16" t="inlineStr"/>
      <c r="U82" s="16" t="inlineStr">
        <is>
          <t>NOT_RUN</t>
        </is>
      </c>
      <c r="V82" s="16" t="inlineStr"/>
      <c r="W82" s="16" t="inlineStr"/>
      <c r="X82" s="17">
        <f>IF(K82="WAIVED","WAIVED",IF(H82="","OPEN",IF(Q82="PASS",IF(Y82&lt;&gt;"","CLOSED","PASSING"),IF(Q82="FAIL","FAILING","COVERED"))))</f>
        <v/>
      </c>
      <c r="Y82" s="16" t="inlineStr"/>
      <c r="Z82" s="16" t="inlineStr"/>
      <c r="AA82" s="16" t="inlineStr"/>
      <c r="AB82" s="16" t="inlineStr">
        <is>
          <t>1.0.0</t>
        </is>
      </c>
      <c r="AC82" s="16" t="inlineStr">
        <is>
          <t>ZUBoard 1CG / Basys 3</t>
        </is>
      </c>
      <c r="AD82" s="16" t="inlineStr">
        <is>
          <t>BALU-RS-001 Rev 0.4</t>
        </is>
      </c>
    </row>
    <row r="83">
      <c r="A83" s="16" t="inlineStr">
        <is>
          <t>UART-REG-007</t>
        </is>
      </c>
      <c r="B83" s="16" t="inlineStr">
        <is>
          <t>REG</t>
        </is>
      </c>
      <c r="C83" s="16" t="inlineStr">
        <is>
          <t>structural</t>
        </is>
      </c>
      <c r="D83" s="16" t="inlineStr">
        <is>
          <t>The Buffered AXI-Lite UART shall assign CTRL[5] as the RX_EN receive enable bit per UART-EN-003.</t>
        </is>
      </c>
      <c r="E83" s="16" t="inlineStr">
        <is>
          <t>BALU-RS-001</t>
        </is>
      </c>
      <c r="F83" s="16" t="inlineStr">
        <is>
          <t>§8.2</t>
        </is>
      </c>
      <c r="G83" s="16" t="inlineStr">
        <is>
          <t>test</t>
        </is>
      </c>
      <c r="H83" s="16" t="inlineStr">
        <is>
          <t>COV-016</t>
        </is>
      </c>
      <c r="I83" s="16" t="inlineStr">
        <is>
          <t>Deassert UART_EN and verify TX/RX halt; then independently gate TX_EN and RX_EN with UART_EN=1 to verify path isolation; set LOOP_EN and verify loopback active.</t>
        </is>
      </c>
      <c r="J83" s="16" t="inlineStr"/>
      <c r="K83" s="16" t="inlineStr">
        <is>
          <t>GENERATED</t>
        </is>
      </c>
      <c r="L83" s="16" t="inlineStr"/>
      <c r="M83" s="16" t="inlineStr"/>
      <c r="N83" s="16" t="inlineStr"/>
      <c r="O83" s="16" t="inlineStr">
        <is>
          <t>vhdl/buffered_axi_lite_uart.vhd</t>
        </is>
      </c>
      <c r="P83" s="16" t="inlineStr">
        <is>
          <t>RTL</t>
        </is>
      </c>
      <c r="Q83" s="16" t="inlineStr">
        <is>
          <t>NOT_RUN</t>
        </is>
      </c>
      <c r="R83" s="16" t="inlineStr"/>
      <c r="S83" s="16" t="inlineStr"/>
      <c r="T83" s="16" t="inlineStr"/>
      <c r="U83" s="16" t="inlineStr">
        <is>
          <t>NOT_RUN</t>
        </is>
      </c>
      <c r="V83" s="16" t="inlineStr"/>
      <c r="W83" s="16" t="inlineStr"/>
      <c r="X83" s="17">
        <f>IF(K83="WAIVED","WAIVED",IF(H83="","OPEN",IF(Q83="PASS",IF(Y83&lt;&gt;"","CLOSED","PASSING"),IF(Q83="FAIL","FAILING","COVERED"))))</f>
        <v/>
      </c>
      <c r="Y83" s="16" t="inlineStr"/>
      <c r="Z83" s="16" t="inlineStr"/>
      <c r="AA83" s="16" t="inlineStr"/>
      <c r="AB83" s="16" t="inlineStr">
        <is>
          <t>1.0.0</t>
        </is>
      </c>
      <c r="AC83" s="16" t="inlineStr">
        <is>
          <t>ZUBoard 1CG / Basys 3</t>
        </is>
      </c>
      <c r="AD83" s="16" t="inlineStr">
        <is>
          <t>BALU-RS-001 Rev 0.4</t>
        </is>
      </c>
    </row>
    <row r="84">
      <c r="A84" s="16" t="inlineStr">
        <is>
          <t>UART-REG-008</t>
        </is>
      </c>
      <c r="B84" s="16" t="inlineStr">
        <is>
          <t>REG</t>
        </is>
      </c>
      <c r="C84" s="16" t="inlineStr">
        <is>
          <t>structural</t>
        </is>
      </c>
      <c r="D84" s="16" t="inlineStr">
        <is>
          <t>The Buffered AXI-Lite UART shall assign CTRL[4] as the LOOP_EN loopback enable bit per UART-EN-005.</t>
        </is>
      </c>
      <c r="E84" s="16" t="inlineStr">
        <is>
          <t>BALU-RS-001</t>
        </is>
      </c>
      <c r="F84" s="16" t="inlineStr">
        <is>
          <t>§8.2</t>
        </is>
      </c>
      <c r="G84" s="16" t="inlineStr">
        <is>
          <t>test</t>
        </is>
      </c>
      <c r="H84" s="16" t="inlineStr">
        <is>
          <t>COV-016</t>
        </is>
      </c>
      <c r="I84" s="16" t="inlineStr">
        <is>
          <t>Deassert UART_EN and verify TX/RX halt; then independently gate TX_EN and RX_EN with UART_EN=1 to verify path isolation; set LOOP_EN and verify loopback active.</t>
        </is>
      </c>
      <c r="J84" s="16" t="inlineStr"/>
      <c r="K84" s="16" t="inlineStr">
        <is>
          <t>GENERATED</t>
        </is>
      </c>
      <c r="L84" s="16" t="inlineStr"/>
      <c r="M84" s="16" t="inlineStr"/>
      <c r="N84" s="16" t="inlineStr"/>
      <c r="O84" s="16" t="inlineStr">
        <is>
          <t>vhdl/buffered_axi_lite_uart.vhd</t>
        </is>
      </c>
      <c r="P84" s="16" t="inlineStr">
        <is>
          <t>RTL</t>
        </is>
      </c>
      <c r="Q84" s="16" t="inlineStr">
        <is>
          <t>NOT_RUN</t>
        </is>
      </c>
      <c r="R84" s="16" t="inlineStr"/>
      <c r="S84" s="16" t="inlineStr"/>
      <c r="T84" s="16" t="inlineStr"/>
      <c r="U84" s="16" t="inlineStr">
        <is>
          <t>NOT_RUN</t>
        </is>
      </c>
      <c r="V84" s="16" t="inlineStr"/>
      <c r="W84" s="16" t="inlineStr"/>
      <c r="X84" s="17">
        <f>IF(K84="WAIVED","WAIVED",IF(H84="","OPEN",IF(Q84="PASS",IF(Y84&lt;&gt;"","CLOSED","PASSING"),IF(Q84="FAIL","FAILING","COVERED"))))</f>
        <v/>
      </c>
      <c r="Y84" s="16" t="inlineStr"/>
      <c r="Z84" s="16" t="inlineStr"/>
      <c r="AA84" s="16" t="inlineStr"/>
      <c r="AB84" s="16" t="inlineStr">
        <is>
          <t>1.0.0</t>
        </is>
      </c>
      <c r="AC84" s="16" t="inlineStr">
        <is>
          <t>ZUBoard 1CG / Basys 3</t>
        </is>
      </c>
      <c r="AD84" s="16" t="inlineStr">
        <is>
          <t>BALU-RS-001 Rev 0.4</t>
        </is>
      </c>
    </row>
    <row r="85">
      <c r="A85" s="16" t="inlineStr">
        <is>
          <t>UART-REG-009</t>
        </is>
      </c>
      <c r="B85" s="16" t="inlineStr">
        <is>
          <t>REG</t>
        </is>
      </c>
      <c r="C85" s="16" t="inlineStr">
        <is>
          <t>structural</t>
        </is>
      </c>
      <c r="D85" s="16" t="inlineStr">
        <is>
          <t>The Buffered AXI-Lite UART shall assign CTRL[3:2] as the PARITY field per UART-FF-005 through UART-FF-008.</t>
        </is>
      </c>
      <c r="E85" s="16" t="inlineStr">
        <is>
          <t>BALU-RS-001</t>
        </is>
      </c>
      <c r="F85" s="16" t="inlineStr">
        <is>
          <t>§8.2</t>
        </is>
      </c>
      <c r="G85" s="16" t="inlineStr">
        <is>
          <t>test</t>
        </is>
      </c>
      <c r="H85" s="16" t="inlineStr">
        <is>
          <t>COV-002</t>
        </is>
      </c>
      <c r="I85" s="16" t="inlineStr">
        <is>
          <t>All four parity modes (00/01/10/11) exercised independently in LOOP_EN loopback; inject parity error bit for odd and even modes.</t>
        </is>
      </c>
      <c r="J85" s="16" t="inlineStr"/>
      <c r="K85" s="16" t="inlineStr">
        <is>
          <t>GENERATED</t>
        </is>
      </c>
      <c r="L85" s="16" t="inlineStr"/>
      <c r="M85" s="16" t="inlineStr"/>
      <c r="N85" s="16" t="inlineStr"/>
      <c r="O85" s="16" t="inlineStr">
        <is>
          <t>vhdl/buffered_axi_lite_uart.vhd</t>
        </is>
      </c>
      <c r="P85" s="16" t="inlineStr">
        <is>
          <t>RTL</t>
        </is>
      </c>
      <c r="Q85" s="16" t="inlineStr">
        <is>
          <t>NOT_RUN</t>
        </is>
      </c>
      <c r="R85" s="16" t="inlineStr"/>
      <c r="S85" s="16" t="inlineStr"/>
      <c r="T85" s="16" t="inlineStr"/>
      <c r="U85" s="16" t="inlineStr">
        <is>
          <t>NOT_RUN</t>
        </is>
      </c>
      <c r="V85" s="16" t="inlineStr"/>
      <c r="W85" s="16" t="inlineStr"/>
      <c r="X85" s="17">
        <f>IF(K85="WAIVED","WAIVED",IF(H85="","OPEN",IF(Q85="PASS",IF(Y85&lt;&gt;"","CLOSED","PASSING"),IF(Q85="FAIL","FAILING","COVERED"))))</f>
        <v/>
      </c>
      <c r="Y85" s="16" t="inlineStr"/>
      <c r="Z85" s="16" t="inlineStr"/>
      <c r="AA85" s="16" t="inlineStr"/>
      <c r="AB85" s="16" t="inlineStr">
        <is>
          <t>1.0.0</t>
        </is>
      </c>
      <c r="AC85" s="16" t="inlineStr">
        <is>
          <t>ZUBoard 1CG / Basys 3</t>
        </is>
      </c>
      <c r="AD85" s="16" t="inlineStr">
        <is>
          <t>BALU-RS-001 Rev 0.4</t>
        </is>
      </c>
    </row>
    <row r="86">
      <c r="A86" s="16" t="inlineStr">
        <is>
          <t>UART-REG-010</t>
        </is>
      </c>
      <c r="B86" s="16" t="inlineStr">
        <is>
          <t>REG</t>
        </is>
      </c>
      <c r="C86" s="16" t="inlineStr">
        <is>
          <t>structural</t>
        </is>
      </c>
      <c r="D86" s="16" t="inlineStr">
        <is>
          <t>The Buffered AXI-Lite UART shall assign CTRL[1] as the STOP_BITS field per UART-FF-002 and UART-FF-003.</t>
        </is>
      </c>
      <c r="E86" s="16" t="inlineStr">
        <is>
          <t>BALU-RS-001</t>
        </is>
      </c>
      <c r="F86" s="16" t="inlineStr">
        <is>
          <t>§8.2</t>
        </is>
      </c>
      <c r="G86" s="16" t="inlineStr">
        <is>
          <t>test</t>
        </is>
      </c>
      <c r="H86" s="16" t="inlineStr">
        <is>
          <t>COV-003</t>
        </is>
      </c>
      <c r="I86" s="16" t="inlineStr">
        <is>
          <t>Both stop bit configurations (1 and 2 stop bits) exercised in LOOP_EN loopback with frame integrity check.</t>
        </is>
      </c>
      <c r="J86" s="16" t="inlineStr"/>
      <c r="K86" s="16" t="inlineStr">
        <is>
          <t>GENERATED</t>
        </is>
      </c>
      <c r="L86" s="16" t="inlineStr"/>
      <c r="M86" s="16" t="inlineStr"/>
      <c r="N86" s="16" t="inlineStr"/>
      <c r="O86" s="16" t="inlineStr">
        <is>
          <t>vhdl/buffered_axi_lite_uart.vhd</t>
        </is>
      </c>
      <c r="P86" s="16" t="inlineStr">
        <is>
          <t>RTL</t>
        </is>
      </c>
      <c r="Q86" s="16" t="inlineStr">
        <is>
          <t>NOT_RUN</t>
        </is>
      </c>
      <c r="R86" s="16" t="inlineStr"/>
      <c r="S86" s="16" t="inlineStr"/>
      <c r="T86" s="16" t="inlineStr"/>
      <c r="U86" s="16" t="inlineStr">
        <is>
          <t>NOT_RUN</t>
        </is>
      </c>
      <c r="V86" s="16" t="inlineStr"/>
      <c r="W86" s="16" t="inlineStr"/>
      <c r="X86" s="17">
        <f>IF(K86="WAIVED","WAIVED",IF(H86="","OPEN",IF(Q86="PASS",IF(Y86&lt;&gt;"","CLOSED","PASSING"),IF(Q86="FAIL","FAILING","COVERED"))))</f>
        <v/>
      </c>
      <c r="Y86" s="16" t="inlineStr"/>
      <c r="Z86" s="16" t="inlineStr"/>
      <c r="AA86" s="16" t="inlineStr"/>
      <c r="AB86" s="16" t="inlineStr">
        <is>
          <t>1.0.0</t>
        </is>
      </c>
      <c r="AC86" s="16" t="inlineStr">
        <is>
          <t>ZUBoard 1CG / Basys 3</t>
        </is>
      </c>
      <c r="AD86" s="16" t="inlineStr">
        <is>
          <t>BALU-RS-001 Rev 0.4</t>
        </is>
      </c>
    </row>
    <row r="87">
      <c r="A87" s="16" t="inlineStr">
        <is>
          <t>UART-REG-011</t>
        </is>
      </c>
      <c r="B87" s="16" t="inlineStr">
        <is>
          <t>REG</t>
        </is>
      </c>
      <c r="C87" s="16" t="inlineStr">
        <is>
          <t>structural</t>
        </is>
      </c>
      <c r="D87" s="16" t="inlineStr">
        <is>
          <t>The Buffered AXI-Lite UART shall reserve CTRL[0] as read-only zero.</t>
        </is>
      </c>
      <c r="E87" s="16" t="inlineStr">
        <is>
          <t>BALU-RS-001</t>
        </is>
      </c>
      <c r="F87" s="16" t="inlineStr">
        <is>
          <t>§8.2</t>
        </is>
      </c>
      <c r="G87" s="16" t="inlineStr">
        <is>
          <t>test</t>
        </is>
      </c>
      <c r="H87" s="16" t="inlineStr">
        <is>
          <t>COV-018</t>
        </is>
      </c>
      <c r="I87" s="16" t="inlineStr">
        <is>
          <t>Write to each read-only register (STATUS, FIFO_STATUS, INT_STATUS, INT_CLEAR, TX_DATA reads, RX_DATA writes); read back and verify state unchanged.</t>
        </is>
      </c>
      <c r="J87" s="16" t="inlineStr"/>
      <c r="K87" s="16" t="inlineStr">
        <is>
          <t>GENERATED</t>
        </is>
      </c>
      <c r="L87" s="16" t="inlineStr"/>
      <c r="M87" s="16" t="inlineStr"/>
      <c r="N87" s="16" t="inlineStr"/>
      <c r="O87" s="16" t="inlineStr">
        <is>
          <t>vhdl/buffered_axi_lite_uart.vhd</t>
        </is>
      </c>
      <c r="P87" s="16" t="inlineStr">
        <is>
          <t>RTL</t>
        </is>
      </c>
      <c r="Q87" s="16" t="inlineStr">
        <is>
          <t>NOT_RUN</t>
        </is>
      </c>
      <c r="R87" s="16" t="inlineStr"/>
      <c r="S87" s="16" t="inlineStr"/>
      <c r="T87" s="16" t="inlineStr"/>
      <c r="U87" s="16" t="inlineStr">
        <is>
          <t>NOT_RUN</t>
        </is>
      </c>
      <c r="V87" s="16" t="inlineStr"/>
      <c r="W87" s="16" t="inlineStr"/>
      <c r="X87" s="17">
        <f>IF(K87="WAIVED","WAIVED",IF(H87="","OPEN",IF(Q87="PASS",IF(Y87&lt;&gt;"","CLOSED","PASSING"),IF(Q87="FAIL","FAILING","COVERED"))))</f>
        <v/>
      </c>
      <c r="Y87" s="16" t="inlineStr"/>
      <c r="Z87" s="16" t="inlineStr"/>
      <c r="AA87" s="16" t="inlineStr"/>
      <c r="AB87" s="16" t="inlineStr">
        <is>
          <t>1.0.0</t>
        </is>
      </c>
      <c r="AC87" s="16" t="inlineStr">
        <is>
          <t>ZUBoard 1CG / Basys 3</t>
        </is>
      </c>
      <c r="AD87" s="16" t="inlineStr">
        <is>
          <t>BALU-RS-001 Rev 0.4</t>
        </is>
      </c>
    </row>
    <row r="88">
      <c r="A88" s="16" t="inlineStr">
        <is>
          <t>UART-REG-012</t>
        </is>
      </c>
      <c r="B88" s="16" t="inlineStr">
        <is>
          <t>REG</t>
        </is>
      </c>
      <c r="C88" s="16" t="inlineStr">
        <is>
          <t>structural</t>
        </is>
      </c>
      <c r="D88" s="16" t="inlineStr">
        <is>
          <t>The Buffered AXI-Lite UART shall implement STATUS as a read-only register, silently ignoring writes.</t>
        </is>
      </c>
      <c r="E88" s="16" t="inlineStr">
        <is>
          <t>BALU-RS-001</t>
        </is>
      </c>
      <c r="F88" s="16" t="inlineStr">
        <is>
          <t>§8.3</t>
        </is>
      </c>
      <c r="G88" s="16" t="inlineStr">
        <is>
          <t>test</t>
        </is>
      </c>
      <c r="H88" s="16" t="inlineStr">
        <is>
          <t>COV-018</t>
        </is>
      </c>
      <c r="I88" s="16" t="inlineStr">
        <is>
          <t>Write to each read-only register (STATUS, FIFO_STATUS, INT_STATUS, INT_CLEAR, TX_DATA reads, RX_DATA writes); read back and verify state unchanged.</t>
        </is>
      </c>
      <c r="J88" s="16" t="inlineStr"/>
      <c r="K88" s="16" t="inlineStr">
        <is>
          <t>GENERATED</t>
        </is>
      </c>
      <c r="L88" s="16" t="inlineStr"/>
      <c r="M88" s="16" t="inlineStr"/>
      <c r="N88" s="16" t="inlineStr"/>
      <c r="O88" s="16" t="inlineStr">
        <is>
          <t>vhdl/buffered_axi_lite_uart.vhd</t>
        </is>
      </c>
      <c r="P88" s="16" t="inlineStr">
        <is>
          <t>RTL</t>
        </is>
      </c>
      <c r="Q88" s="16" t="inlineStr">
        <is>
          <t>NOT_RUN</t>
        </is>
      </c>
      <c r="R88" s="16" t="inlineStr"/>
      <c r="S88" s="16" t="inlineStr"/>
      <c r="T88" s="16" t="inlineStr"/>
      <c r="U88" s="16" t="inlineStr">
        <is>
          <t>NOT_RUN</t>
        </is>
      </c>
      <c r="V88" s="16" t="inlineStr"/>
      <c r="W88" s="16" t="inlineStr"/>
      <c r="X88" s="17">
        <f>IF(K88="WAIVED","WAIVED",IF(H88="","OPEN",IF(Q88="PASS",IF(Y88&lt;&gt;"","CLOSED","PASSING"),IF(Q88="FAIL","FAILING","COVERED"))))</f>
        <v/>
      </c>
      <c r="Y88" s="16" t="inlineStr"/>
      <c r="Z88" s="16" t="inlineStr"/>
      <c r="AA88" s="16" t="inlineStr"/>
      <c r="AB88" s="16" t="inlineStr">
        <is>
          <t>1.0.0</t>
        </is>
      </c>
      <c r="AC88" s="16" t="inlineStr">
        <is>
          <t>ZUBoard 1CG / Basys 3</t>
        </is>
      </c>
      <c r="AD88" s="16" t="inlineStr">
        <is>
          <t>BALU-RS-001 Rev 0.4</t>
        </is>
      </c>
    </row>
    <row r="89">
      <c r="A89" s="16" t="inlineStr">
        <is>
          <t>UART-REG-013</t>
        </is>
      </c>
      <c r="B89" s="16" t="inlineStr">
        <is>
          <t>REG</t>
        </is>
      </c>
      <c r="C89" s="16" t="inlineStr">
        <is>
          <t>structural</t>
        </is>
      </c>
      <c r="D89" s="16" t="inlineStr">
        <is>
          <t>The Buffered AXI-Lite UART shall reset STATUS to 0x00000300 reflecting TX_EMPTY=1 and RX_EMPTY=1 at power-on with all error flags deasserted.</t>
        </is>
      </c>
      <c r="E89" s="16" t="inlineStr">
        <is>
          <t>BALU-RS-001</t>
        </is>
      </c>
      <c r="F89" s="16" t="inlineStr">
        <is>
          <t>§8.3</t>
        </is>
      </c>
      <c r="G89" s="16" t="inlineStr">
        <is>
          <t>test</t>
        </is>
      </c>
      <c r="H89" s="16" t="inlineStr">
        <is>
          <t>COV-015</t>
        </is>
      </c>
      <c r="I89" s="16" t="inlineStr">
        <is>
          <t>Assert then deassert reset; read all 12 registers and compare each field to the reset value specified in Table 8-x.</t>
        </is>
      </c>
      <c r="J89" s="16" t="inlineStr"/>
      <c r="K89" s="16" t="inlineStr">
        <is>
          <t>GENERATED</t>
        </is>
      </c>
      <c r="L89" s="16" t="inlineStr"/>
      <c r="M89" s="16" t="inlineStr"/>
      <c r="N89" s="16" t="inlineStr"/>
      <c r="O89" s="16" t="inlineStr">
        <is>
          <t>vhdl/buffered_axi_lite_uart.vhd</t>
        </is>
      </c>
      <c r="P89" s="16" t="inlineStr">
        <is>
          <t>RTL</t>
        </is>
      </c>
      <c r="Q89" s="16" t="inlineStr">
        <is>
          <t>NOT_RUN</t>
        </is>
      </c>
      <c r="R89" s="16" t="inlineStr"/>
      <c r="S89" s="16" t="inlineStr"/>
      <c r="T89" s="16" t="inlineStr"/>
      <c r="U89" s="16" t="inlineStr">
        <is>
          <t>NOT_RUN</t>
        </is>
      </c>
      <c r="V89" s="16" t="inlineStr"/>
      <c r="W89" s="16" t="inlineStr"/>
      <c r="X89" s="17">
        <f>IF(K89="WAIVED","WAIVED",IF(H89="","OPEN",IF(Q89="PASS",IF(Y89&lt;&gt;"","CLOSED","PASSING"),IF(Q89="FAIL","FAILING","COVERED"))))</f>
        <v/>
      </c>
      <c r="Y89" s="16" t="inlineStr"/>
      <c r="Z89" s="16" t="inlineStr"/>
      <c r="AA89" s="16" t="inlineStr"/>
      <c r="AB89" s="16" t="inlineStr">
        <is>
          <t>1.0.0</t>
        </is>
      </c>
      <c r="AC89" s="16" t="inlineStr">
        <is>
          <t>ZUBoard 1CG / Basys 3</t>
        </is>
      </c>
      <c r="AD89" s="16" t="inlineStr">
        <is>
          <t>BALU-RS-001 Rev 0.4</t>
        </is>
      </c>
    </row>
    <row r="90">
      <c r="A90" s="16" t="inlineStr">
        <is>
          <t>UART-REG-014</t>
        </is>
      </c>
      <c r="B90" s="16" t="inlineStr">
        <is>
          <t>REG</t>
        </is>
      </c>
      <c r="C90" s="16" t="inlineStr">
        <is>
          <t>structural</t>
        </is>
      </c>
      <c r="D90" s="16" t="inlineStr">
        <is>
          <t>The Buffered AXI-Lite UART shall assign STATUS[11] as TIMEOUT_FLAG per UART-TO-005.</t>
        </is>
      </c>
      <c r="E90" s="16" t="inlineStr">
        <is>
          <t>BALU-RS-001</t>
        </is>
      </c>
      <c r="F90" s="16" t="inlineStr">
        <is>
          <t>§8.3</t>
        </is>
      </c>
      <c r="G90" s="16" t="inlineStr">
        <is>
          <t>test</t>
        </is>
      </c>
      <c r="H90" s="16" t="inlineStr">
        <is>
          <t>COV-009</t>
        </is>
      </c>
      <c r="I90" s="16" t="inlineStr">
        <is>
          <t>Set TIMEOUT_VAL non-zero, fill RX FIFO above RX_THRESH, then idle until timeout fires; verify both INT_STATUS.TIMEOUT and INT_STATUS.RX_THRESH set simultaneously.</t>
        </is>
      </c>
      <c r="J90" s="16" t="inlineStr"/>
      <c r="K90" s="16" t="inlineStr">
        <is>
          <t>GENERATED</t>
        </is>
      </c>
      <c r="L90" s="16" t="inlineStr"/>
      <c r="M90" s="16" t="inlineStr"/>
      <c r="N90" s="16" t="inlineStr"/>
      <c r="O90" s="16" t="inlineStr">
        <is>
          <t>vhdl/buffered_axi_lite_uart.vhd</t>
        </is>
      </c>
      <c r="P90" s="16" t="inlineStr">
        <is>
          <t>RTL</t>
        </is>
      </c>
      <c r="Q90" s="16" t="inlineStr">
        <is>
          <t>NOT_RUN</t>
        </is>
      </c>
      <c r="R90" s="16" t="inlineStr"/>
      <c r="S90" s="16" t="inlineStr"/>
      <c r="T90" s="16" t="inlineStr"/>
      <c r="U90" s="16" t="inlineStr">
        <is>
          <t>NOT_RUN</t>
        </is>
      </c>
      <c r="V90" s="16" t="inlineStr"/>
      <c r="W90" s="16" t="inlineStr"/>
      <c r="X90" s="17">
        <f>IF(K90="WAIVED","WAIVED",IF(H90="","OPEN",IF(Q90="PASS",IF(Y90&lt;&gt;"","CLOSED","PASSING"),IF(Q90="FAIL","FAILING","COVERED"))))</f>
        <v/>
      </c>
      <c r="Y90" s="16" t="inlineStr"/>
      <c r="Z90" s="16" t="inlineStr"/>
      <c r="AA90" s="16" t="inlineStr"/>
      <c r="AB90" s="16" t="inlineStr">
        <is>
          <t>1.0.0</t>
        </is>
      </c>
      <c r="AC90" s="16" t="inlineStr">
        <is>
          <t>ZUBoard 1CG / Basys 3</t>
        </is>
      </c>
      <c r="AD90" s="16" t="inlineStr">
        <is>
          <t>BALU-RS-001 Rev 0.4</t>
        </is>
      </c>
    </row>
    <row r="91">
      <c r="A91" s="16" t="inlineStr">
        <is>
          <t>UART-REG-015</t>
        </is>
      </c>
      <c r="B91" s="16" t="inlineStr">
        <is>
          <t>REG</t>
        </is>
      </c>
      <c r="C91" s="16" t="inlineStr">
        <is>
          <t>structural</t>
        </is>
      </c>
      <c r="D91" s="16" t="inlineStr">
        <is>
          <t>The Buffered AXI-Lite UART shall assign STATUS[10] as INT_PENDING, reflecting the current state of the IRQ output.</t>
        </is>
      </c>
      <c r="E91" s="16" t="inlineStr">
        <is>
          <t>BALU-RS-001</t>
        </is>
      </c>
      <c r="F91" s="16" t="inlineStr">
        <is>
          <t>§8.3</t>
        </is>
      </c>
      <c r="G91" s="16" t="inlineStr">
        <is>
          <t>test</t>
        </is>
      </c>
      <c r="H91" s="16" t="inlineStr">
        <is>
          <t>COV-019</t>
        </is>
      </c>
      <c r="I91" s="16" t="inlineStr">
        <is>
          <t>Drive TX_THRESH and RX_THRESH interrupt conditions, inject FRAME_ERR via stop-bit corruption, enable TIMEOUT interrupt; verify each INT_STATUS bit controlled by INT_ENABLE gate.</t>
        </is>
      </c>
      <c r="J91" s="16" t="inlineStr"/>
      <c r="K91" s="16" t="inlineStr">
        <is>
          <t>GENERATED</t>
        </is>
      </c>
      <c r="L91" s="16" t="inlineStr"/>
      <c r="M91" s="16" t="inlineStr"/>
      <c r="N91" s="16" t="inlineStr"/>
      <c r="O91" s="16" t="inlineStr">
        <is>
          <t>vhdl/buffered_axi_lite_uart.vhd</t>
        </is>
      </c>
      <c r="P91" s="16" t="inlineStr">
        <is>
          <t>RTL</t>
        </is>
      </c>
      <c r="Q91" s="16" t="inlineStr">
        <is>
          <t>NOT_RUN</t>
        </is>
      </c>
      <c r="R91" s="16" t="inlineStr"/>
      <c r="S91" s="16" t="inlineStr"/>
      <c r="T91" s="16" t="inlineStr"/>
      <c r="U91" s="16" t="inlineStr">
        <is>
          <t>NOT_RUN</t>
        </is>
      </c>
      <c r="V91" s="16" t="inlineStr"/>
      <c r="W91" s="16" t="inlineStr"/>
      <c r="X91" s="17">
        <f>IF(K91="WAIVED","WAIVED",IF(H91="","OPEN",IF(Q91="PASS",IF(Y91&lt;&gt;"","CLOSED","PASSING"),IF(Q91="FAIL","FAILING","COVERED"))))</f>
        <v/>
      </c>
      <c r="Y91" s="16" t="inlineStr"/>
      <c r="Z91" s="16" t="inlineStr"/>
      <c r="AA91" s="16" t="inlineStr"/>
      <c r="AB91" s="16" t="inlineStr">
        <is>
          <t>1.0.0</t>
        </is>
      </c>
      <c r="AC91" s="16" t="inlineStr">
        <is>
          <t>ZUBoard 1CG / Basys 3</t>
        </is>
      </c>
      <c r="AD91" s="16" t="inlineStr">
        <is>
          <t>BALU-RS-001 Rev 0.4</t>
        </is>
      </c>
    </row>
    <row r="92">
      <c r="A92" s="16" t="inlineStr">
        <is>
          <t>UART-REG-016</t>
        </is>
      </c>
      <c r="B92" s="16" t="inlineStr">
        <is>
          <t>REG</t>
        </is>
      </c>
      <c r="C92" s="16" t="inlineStr">
        <is>
          <t>structural</t>
        </is>
      </c>
      <c r="D92" s="16" t="inlineStr">
        <is>
          <t>The Buffered AXI-Lite UART shall assign STATUS[9] as TX_FULL per UART-FIFO-002.</t>
        </is>
      </c>
      <c r="E92" s="16" t="inlineStr">
        <is>
          <t>BALU-RS-001</t>
        </is>
      </c>
      <c r="F92" s="16" t="inlineStr">
        <is>
          <t>§8.3</t>
        </is>
      </c>
      <c r="G92" s="16" t="inlineStr">
        <is>
          <t>test</t>
        </is>
      </c>
      <c r="H92" s="16" t="inlineStr">
        <is>
          <t>COV-005</t>
        </is>
      </c>
      <c r="I92" s="16" t="inlineStr">
        <is>
          <t>TX FIFO occupancy driven to 0, TX_THRESH-1, TX_THRESH, TX_THRESH+1, and G_FIFO_DEPTH to verify status flags and write-ignore behavior.</t>
        </is>
      </c>
      <c r="J92" s="16" t="inlineStr"/>
      <c r="K92" s="16" t="inlineStr">
        <is>
          <t>GENERATED</t>
        </is>
      </c>
      <c r="L92" s="16" t="inlineStr"/>
      <c r="M92" s="16" t="inlineStr"/>
      <c r="N92" s="16" t="inlineStr"/>
      <c r="O92" s="16" t="inlineStr">
        <is>
          <t>vhdl/buffered_axi_lite_uart.vhd</t>
        </is>
      </c>
      <c r="P92" s="16" t="inlineStr">
        <is>
          <t>RTL</t>
        </is>
      </c>
      <c r="Q92" s="16" t="inlineStr">
        <is>
          <t>NOT_RUN</t>
        </is>
      </c>
      <c r="R92" s="16" t="inlineStr"/>
      <c r="S92" s="16" t="inlineStr"/>
      <c r="T92" s="16" t="inlineStr"/>
      <c r="U92" s="16" t="inlineStr">
        <is>
          <t>NOT_RUN</t>
        </is>
      </c>
      <c r="V92" s="16" t="inlineStr"/>
      <c r="W92" s="16" t="inlineStr"/>
      <c r="X92" s="17">
        <f>IF(K92="WAIVED","WAIVED",IF(H92="","OPEN",IF(Q92="PASS",IF(Y92&lt;&gt;"","CLOSED","PASSING"),IF(Q92="FAIL","FAILING","COVERED"))))</f>
        <v/>
      </c>
      <c r="Y92" s="16" t="inlineStr"/>
      <c r="Z92" s="16" t="inlineStr"/>
      <c r="AA92" s="16" t="inlineStr"/>
      <c r="AB92" s="16" t="inlineStr">
        <is>
          <t>1.0.0</t>
        </is>
      </c>
      <c r="AC92" s="16" t="inlineStr">
        <is>
          <t>ZUBoard 1CG / Basys 3</t>
        </is>
      </c>
      <c r="AD92" s="16" t="inlineStr">
        <is>
          <t>BALU-RS-001 Rev 0.4</t>
        </is>
      </c>
    </row>
    <row r="93">
      <c r="A93" s="16" t="inlineStr">
        <is>
          <t>UART-REG-017</t>
        </is>
      </c>
      <c r="B93" s="16" t="inlineStr">
        <is>
          <t>REG</t>
        </is>
      </c>
      <c r="C93" s="16" t="inlineStr">
        <is>
          <t>structural</t>
        </is>
      </c>
      <c r="D93" s="16" t="inlineStr">
        <is>
          <t>The Buffered AXI-Lite UART shall assign STATUS[8] as TX_EMPTY per UART-FIFO-003.</t>
        </is>
      </c>
      <c r="E93" s="16" t="inlineStr">
        <is>
          <t>BALU-RS-001</t>
        </is>
      </c>
      <c r="F93" s="16" t="inlineStr">
        <is>
          <t>§8.3</t>
        </is>
      </c>
      <c r="G93" s="16" t="inlineStr">
        <is>
          <t>test</t>
        </is>
      </c>
      <c r="H93" s="16" t="inlineStr">
        <is>
          <t>COV-005</t>
        </is>
      </c>
      <c r="I93" s="16" t="inlineStr">
        <is>
          <t>TX FIFO occupancy driven to 0, TX_THRESH-1, TX_THRESH, TX_THRESH+1, and G_FIFO_DEPTH to verify status flags and write-ignore behavior.</t>
        </is>
      </c>
      <c r="J93" s="16" t="inlineStr"/>
      <c r="K93" s="16" t="inlineStr">
        <is>
          <t>GENERATED</t>
        </is>
      </c>
      <c r="L93" s="16" t="inlineStr"/>
      <c r="M93" s="16" t="inlineStr"/>
      <c r="N93" s="16" t="inlineStr"/>
      <c r="O93" s="16" t="inlineStr">
        <is>
          <t>vhdl/buffered_axi_lite_uart.vhd</t>
        </is>
      </c>
      <c r="P93" s="16" t="inlineStr">
        <is>
          <t>RTL</t>
        </is>
      </c>
      <c r="Q93" s="16" t="inlineStr">
        <is>
          <t>NOT_RUN</t>
        </is>
      </c>
      <c r="R93" s="16" t="inlineStr"/>
      <c r="S93" s="16" t="inlineStr"/>
      <c r="T93" s="16" t="inlineStr"/>
      <c r="U93" s="16" t="inlineStr">
        <is>
          <t>NOT_RUN</t>
        </is>
      </c>
      <c r="V93" s="16" t="inlineStr"/>
      <c r="W93" s="16" t="inlineStr"/>
      <c r="X93" s="17">
        <f>IF(K93="WAIVED","WAIVED",IF(H93="","OPEN",IF(Q93="PASS",IF(Y93&lt;&gt;"","CLOSED","PASSING"),IF(Q93="FAIL","FAILING","COVERED"))))</f>
        <v/>
      </c>
      <c r="Y93" s="16" t="inlineStr"/>
      <c r="Z93" s="16" t="inlineStr"/>
      <c r="AA93" s="16" t="inlineStr"/>
      <c r="AB93" s="16" t="inlineStr">
        <is>
          <t>1.0.0</t>
        </is>
      </c>
      <c r="AC93" s="16" t="inlineStr">
        <is>
          <t>ZUBoard 1CG / Basys 3</t>
        </is>
      </c>
      <c r="AD93" s="16" t="inlineStr">
        <is>
          <t>BALU-RS-001 Rev 0.4</t>
        </is>
      </c>
    </row>
    <row r="94">
      <c r="A94" s="16" t="inlineStr">
        <is>
          <t>UART-REG-018</t>
        </is>
      </c>
      <c r="B94" s="16" t="inlineStr">
        <is>
          <t>REG</t>
        </is>
      </c>
      <c r="C94" s="16" t="inlineStr">
        <is>
          <t>structural</t>
        </is>
      </c>
      <c r="D94" s="16" t="inlineStr">
        <is>
          <t>The Buffered AXI-Lite UART shall assign STATUS[7] as RX_FULL per UART-FIFO-004.</t>
        </is>
      </c>
      <c r="E94" s="16" t="inlineStr">
        <is>
          <t>BALU-RS-001</t>
        </is>
      </c>
      <c r="F94" s="16" t="inlineStr">
        <is>
          <t>§8.3</t>
        </is>
      </c>
      <c r="G94" s="16" t="inlineStr">
        <is>
          <t>test</t>
        </is>
      </c>
      <c r="H94" s="16" t="inlineStr">
        <is>
          <t>COV-008</t>
        </is>
      </c>
      <c r="I94" s="16" t="inlineStr">
        <is>
          <t>Fill RX FIFO to capacity then transmit additional byte to force overrun; verify overrun byte discarded and FIFO content unchanged.</t>
        </is>
      </c>
      <c r="J94" s="16" t="inlineStr"/>
      <c r="K94" s="16" t="inlineStr">
        <is>
          <t>GENERATED</t>
        </is>
      </c>
      <c r="L94" s="16" t="inlineStr"/>
      <c r="M94" s="16" t="inlineStr"/>
      <c r="N94" s="16" t="inlineStr"/>
      <c r="O94" s="16" t="inlineStr">
        <is>
          <t>vhdl/buffered_axi_lite_uart.vhd</t>
        </is>
      </c>
      <c r="P94" s="16" t="inlineStr">
        <is>
          <t>RTL</t>
        </is>
      </c>
      <c r="Q94" s="16" t="inlineStr">
        <is>
          <t>NOT_RUN</t>
        </is>
      </c>
      <c r="R94" s="16" t="inlineStr"/>
      <c r="S94" s="16" t="inlineStr"/>
      <c r="T94" s="16" t="inlineStr"/>
      <c r="U94" s="16" t="inlineStr">
        <is>
          <t>NOT_RUN</t>
        </is>
      </c>
      <c r="V94" s="16" t="inlineStr"/>
      <c r="W94" s="16" t="inlineStr"/>
      <c r="X94" s="17">
        <f>IF(K94="WAIVED","WAIVED",IF(H94="","OPEN",IF(Q94="PASS",IF(Y94&lt;&gt;"","CLOSED","PASSING"),IF(Q94="FAIL","FAILING","COVERED"))))</f>
        <v/>
      </c>
      <c r="Y94" s="16" t="inlineStr"/>
      <c r="Z94" s="16" t="inlineStr"/>
      <c r="AA94" s="16" t="inlineStr"/>
      <c r="AB94" s="16" t="inlineStr">
        <is>
          <t>1.0.0</t>
        </is>
      </c>
      <c r="AC94" s="16" t="inlineStr">
        <is>
          <t>ZUBoard 1CG / Basys 3</t>
        </is>
      </c>
      <c r="AD94" s="16" t="inlineStr">
        <is>
          <t>BALU-RS-001 Rev 0.4</t>
        </is>
      </c>
    </row>
    <row r="95">
      <c r="A95" s="16" t="inlineStr">
        <is>
          <t>UART-REG-019</t>
        </is>
      </c>
      <c r="B95" s="16" t="inlineStr">
        <is>
          <t>REG</t>
        </is>
      </c>
      <c r="C95" s="16" t="inlineStr">
        <is>
          <t>structural</t>
        </is>
      </c>
      <c r="D95" s="16" t="inlineStr">
        <is>
          <t>The Buffered AXI-Lite UART shall assign STATUS[6] as RX_EMPTY per UART-FIFO-005.</t>
        </is>
      </c>
      <c r="E95" s="16" t="inlineStr">
        <is>
          <t>BALU-RS-001</t>
        </is>
      </c>
      <c r="F95" s="16" t="inlineStr">
        <is>
          <t>§8.3</t>
        </is>
      </c>
      <c r="G95" s="16" t="inlineStr">
        <is>
          <t>test</t>
        </is>
      </c>
      <c r="H95" s="16" t="inlineStr">
        <is>
          <t>COV-004</t>
        </is>
      </c>
      <c r="I95" s="16" t="inlineStr">
        <is>
          <t>RX FIFO occupancy driven to 0, RX_THRESH-1, RX_THRESH, RX_THRESH+1, and G_FIFO_DEPTH to verify status flags and overrun discard.</t>
        </is>
      </c>
      <c r="J95" s="16" t="inlineStr"/>
      <c r="K95" s="16" t="inlineStr">
        <is>
          <t>GENERATED</t>
        </is>
      </c>
      <c r="L95" s="16" t="inlineStr"/>
      <c r="M95" s="16" t="inlineStr"/>
      <c r="N95" s="16" t="inlineStr"/>
      <c r="O95" s="16" t="inlineStr">
        <is>
          <t>vhdl/buffered_axi_lite_uart.vhd</t>
        </is>
      </c>
      <c r="P95" s="16" t="inlineStr">
        <is>
          <t>RTL</t>
        </is>
      </c>
      <c r="Q95" s="16" t="inlineStr">
        <is>
          <t>NOT_RUN</t>
        </is>
      </c>
      <c r="R95" s="16" t="inlineStr"/>
      <c r="S95" s="16" t="inlineStr"/>
      <c r="T95" s="16" t="inlineStr"/>
      <c r="U95" s="16" t="inlineStr">
        <is>
          <t>NOT_RUN</t>
        </is>
      </c>
      <c r="V95" s="16" t="inlineStr"/>
      <c r="W95" s="16" t="inlineStr"/>
      <c r="X95" s="17">
        <f>IF(K95="WAIVED","WAIVED",IF(H95="","OPEN",IF(Q95="PASS",IF(Y95&lt;&gt;"","CLOSED","PASSING"),IF(Q95="FAIL","FAILING","COVERED"))))</f>
        <v/>
      </c>
      <c r="Y95" s="16" t="inlineStr"/>
      <c r="Z95" s="16" t="inlineStr"/>
      <c r="AA95" s="16" t="inlineStr"/>
      <c r="AB95" s="16" t="inlineStr">
        <is>
          <t>1.0.0</t>
        </is>
      </c>
      <c r="AC95" s="16" t="inlineStr">
        <is>
          <t>ZUBoard 1CG / Basys 3</t>
        </is>
      </c>
      <c r="AD95" s="16" t="inlineStr">
        <is>
          <t>BALU-RS-001 Rev 0.4</t>
        </is>
      </c>
    </row>
    <row r="96">
      <c r="A96" s="16" t="inlineStr">
        <is>
          <t>UART-REG-020</t>
        </is>
      </c>
      <c r="B96" s="16" t="inlineStr">
        <is>
          <t>REG</t>
        </is>
      </c>
      <c r="C96" s="16" t="inlineStr">
        <is>
          <t>structural</t>
        </is>
      </c>
      <c r="D96" s="16" t="inlineStr">
        <is>
          <t>The Buffered AXI-Lite UART shall assign STATUS[5] as TX_BUSY, asserted while the transmit shift register is actively shifting a frame.</t>
        </is>
      </c>
      <c r="E96" s="16" t="inlineStr">
        <is>
          <t>BALU-RS-001</t>
        </is>
      </c>
      <c r="F96" s="16" t="inlineStr">
        <is>
          <t>§8.3</t>
        </is>
      </c>
      <c r="G96" s="16" t="inlineStr">
        <is>
          <t>test</t>
        </is>
      </c>
      <c r="H96" s="16" t="inlineStr">
        <is>
          <t>COV-019</t>
        </is>
      </c>
      <c r="I96" s="16" t="inlineStr">
        <is>
          <t>Drive TX_THRESH and RX_THRESH interrupt conditions, inject FRAME_ERR via stop-bit corruption, enable TIMEOUT interrupt; verify each INT_STATUS bit controlled by INT_ENABLE gate.</t>
        </is>
      </c>
      <c r="J96" s="16" t="inlineStr"/>
      <c r="K96" s="16" t="inlineStr">
        <is>
          <t>GENERATED</t>
        </is>
      </c>
      <c r="L96" s="16" t="inlineStr"/>
      <c r="M96" s="16" t="inlineStr"/>
      <c r="N96" s="16" t="inlineStr"/>
      <c r="O96" s="16" t="inlineStr">
        <is>
          <t>vhdl/buffered_axi_lite_uart.vhd</t>
        </is>
      </c>
      <c r="P96" s="16" t="inlineStr">
        <is>
          <t>RTL</t>
        </is>
      </c>
      <c r="Q96" s="16" t="inlineStr">
        <is>
          <t>NOT_RUN</t>
        </is>
      </c>
      <c r="R96" s="16" t="inlineStr"/>
      <c r="S96" s="16" t="inlineStr"/>
      <c r="T96" s="16" t="inlineStr"/>
      <c r="U96" s="16" t="inlineStr">
        <is>
          <t>NOT_RUN</t>
        </is>
      </c>
      <c r="V96" s="16" t="inlineStr"/>
      <c r="W96" s="16" t="inlineStr"/>
      <c r="X96" s="17">
        <f>IF(K96="WAIVED","WAIVED",IF(H96="","OPEN",IF(Q96="PASS",IF(Y96&lt;&gt;"","CLOSED","PASSING"),IF(Q96="FAIL","FAILING","COVERED"))))</f>
        <v/>
      </c>
      <c r="Y96" s="16" t="inlineStr"/>
      <c r="Z96" s="16" t="inlineStr"/>
      <c r="AA96" s="16" t="inlineStr"/>
      <c r="AB96" s="16" t="inlineStr">
        <is>
          <t>1.0.0</t>
        </is>
      </c>
      <c r="AC96" s="16" t="inlineStr">
        <is>
          <t>ZUBoard 1CG / Basys 3</t>
        </is>
      </c>
      <c r="AD96" s="16" t="inlineStr">
        <is>
          <t>BALU-RS-001 Rev 0.4</t>
        </is>
      </c>
    </row>
    <row r="97">
      <c r="A97" s="16" t="inlineStr">
        <is>
          <t>UART-REG-021</t>
        </is>
      </c>
      <c r="B97" s="16" t="inlineStr">
        <is>
          <t>REG</t>
        </is>
      </c>
      <c r="C97" s="16" t="inlineStr">
        <is>
          <t>structural</t>
        </is>
      </c>
      <c r="D97" s="16" t="inlineStr">
        <is>
          <t>The Buffered AXI-Lite UART shall assign STATUS[4] as RX_BUSY, asserted while the receive shift register is actively receiving a frame.</t>
        </is>
      </c>
      <c r="E97" s="16" t="inlineStr">
        <is>
          <t>BALU-RS-001</t>
        </is>
      </c>
      <c r="F97" s="16" t="inlineStr">
        <is>
          <t>§8.3</t>
        </is>
      </c>
      <c r="G97" s="16" t="inlineStr">
        <is>
          <t>test</t>
        </is>
      </c>
      <c r="H97" s="16" t="inlineStr">
        <is>
          <t>COV-019</t>
        </is>
      </c>
      <c r="I97" s="16" t="inlineStr">
        <is>
          <t>Drive TX_THRESH and RX_THRESH interrupt conditions, inject FRAME_ERR via stop-bit corruption, enable TIMEOUT interrupt; verify each INT_STATUS bit controlled by INT_ENABLE gate.</t>
        </is>
      </c>
      <c r="J97" s="16" t="inlineStr"/>
      <c r="K97" s="16" t="inlineStr">
        <is>
          <t>GENERATED</t>
        </is>
      </c>
      <c r="L97" s="16" t="inlineStr"/>
      <c r="M97" s="16" t="inlineStr"/>
      <c r="N97" s="16" t="inlineStr"/>
      <c r="O97" s="16" t="inlineStr">
        <is>
          <t>vhdl/buffered_axi_lite_uart.vhd</t>
        </is>
      </c>
      <c r="P97" s="16" t="inlineStr">
        <is>
          <t>RTL</t>
        </is>
      </c>
      <c r="Q97" s="16" t="inlineStr">
        <is>
          <t>NOT_RUN</t>
        </is>
      </c>
      <c r="R97" s="16" t="inlineStr"/>
      <c r="S97" s="16" t="inlineStr"/>
      <c r="T97" s="16" t="inlineStr"/>
      <c r="U97" s="16" t="inlineStr">
        <is>
          <t>NOT_RUN</t>
        </is>
      </c>
      <c r="V97" s="16" t="inlineStr"/>
      <c r="W97" s="16" t="inlineStr"/>
      <c r="X97" s="17">
        <f>IF(K97="WAIVED","WAIVED",IF(H97="","OPEN",IF(Q97="PASS",IF(Y97&lt;&gt;"","CLOSED","PASSING"),IF(Q97="FAIL","FAILING","COVERED"))))</f>
        <v/>
      </c>
      <c r="Y97" s="16" t="inlineStr"/>
      <c r="Z97" s="16" t="inlineStr"/>
      <c r="AA97" s="16" t="inlineStr"/>
      <c r="AB97" s="16" t="inlineStr">
        <is>
          <t>1.0.0</t>
        </is>
      </c>
      <c r="AC97" s="16" t="inlineStr">
        <is>
          <t>ZUBoard 1CG / Basys 3</t>
        </is>
      </c>
      <c r="AD97" s="16" t="inlineStr">
        <is>
          <t>BALU-RS-001 Rev 0.4</t>
        </is>
      </c>
    </row>
    <row r="98">
      <c r="A98" s="16" t="inlineStr">
        <is>
          <t>UART-REG-022</t>
        </is>
      </c>
      <c r="B98" s="16" t="inlineStr">
        <is>
          <t>REG</t>
        </is>
      </c>
      <c r="C98" s="16" t="inlineStr">
        <is>
          <t>structural</t>
        </is>
      </c>
      <c r="D98" s="16" t="inlineStr">
        <is>
          <t>The Buffered AXI-Lite UART shall assign STATUS[3] as PARITY_ERR per UART-FF-009.</t>
        </is>
      </c>
      <c r="E98" s="16" t="inlineStr">
        <is>
          <t>BALU-RS-001</t>
        </is>
      </c>
      <c r="F98" s="16" t="inlineStr">
        <is>
          <t>§8.3</t>
        </is>
      </c>
      <c r="G98" s="16" t="inlineStr">
        <is>
          <t>test</t>
        </is>
      </c>
      <c r="H98" s="16" t="inlineStr">
        <is>
          <t>COV-019</t>
        </is>
      </c>
      <c r="I98" s="16" t="inlineStr">
        <is>
          <t>Drive TX_THRESH and RX_THRESH interrupt conditions, inject FRAME_ERR via stop-bit corruption, enable TIMEOUT interrupt; verify each INT_STATUS bit controlled by INT_ENABLE gate.</t>
        </is>
      </c>
      <c r="J98" s="16" t="inlineStr"/>
      <c r="K98" s="16" t="inlineStr">
        <is>
          <t>GENERATED</t>
        </is>
      </c>
      <c r="L98" s="16" t="inlineStr"/>
      <c r="M98" s="16" t="inlineStr"/>
      <c r="N98" s="16" t="inlineStr"/>
      <c r="O98" s="16" t="inlineStr">
        <is>
          <t>vhdl/buffered_axi_lite_uart.vhd</t>
        </is>
      </c>
      <c r="P98" s="16" t="inlineStr">
        <is>
          <t>RTL</t>
        </is>
      </c>
      <c r="Q98" s="16" t="inlineStr">
        <is>
          <t>NOT_RUN</t>
        </is>
      </c>
      <c r="R98" s="16" t="inlineStr"/>
      <c r="S98" s="16" t="inlineStr"/>
      <c r="T98" s="16" t="inlineStr"/>
      <c r="U98" s="16" t="inlineStr">
        <is>
          <t>NOT_RUN</t>
        </is>
      </c>
      <c r="V98" s="16" t="inlineStr"/>
      <c r="W98" s="16" t="inlineStr"/>
      <c r="X98" s="17">
        <f>IF(K98="WAIVED","WAIVED",IF(H98="","OPEN",IF(Q98="PASS",IF(Y98&lt;&gt;"","CLOSED","PASSING"),IF(Q98="FAIL","FAILING","COVERED"))))</f>
        <v/>
      </c>
      <c r="Y98" s="16" t="inlineStr"/>
      <c r="Z98" s="16" t="inlineStr"/>
      <c r="AA98" s="16" t="inlineStr"/>
      <c r="AB98" s="16" t="inlineStr">
        <is>
          <t>1.0.0</t>
        </is>
      </c>
      <c r="AC98" s="16" t="inlineStr">
        <is>
          <t>ZUBoard 1CG / Basys 3</t>
        </is>
      </c>
      <c r="AD98" s="16" t="inlineStr">
        <is>
          <t>BALU-RS-001 Rev 0.4</t>
        </is>
      </c>
    </row>
    <row r="99">
      <c r="A99" s="16" t="inlineStr">
        <is>
          <t>UART-REG-023</t>
        </is>
      </c>
      <c r="B99" s="16" t="inlineStr">
        <is>
          <t>REG</t>
        </is>
      </c>
      <c r="C99" s="16" t="inlineStr">
        <is>
          <t>structural</t>
        </is>
      </c>
      <c r="D99" s="16" t="inlineStr">
        <is>
          <t>The Buffered AXI-Lite UART shall assign STATUS[2] as FRAME_ERR, asserted when a framing error is detected per UART-INT-013.</t>
        </is>
      </c>
      <c r="E99" s="16" t="inlineStr">
        <is>
          <t>BALU-RS-001</t>
        </is>
      </c>
      <c r="F99" s="16" t="inlineStr">
        <is>
          <t>§8.3</t>
        </is>
      </c>
      <c r="G99" s="16" t="inlineStr">
        <is>
          <t>test</t>
        </is>
      </c>
      <c r="H99" s="16" t="inlineStr">
        <is>
          <t>COV-019</t>
        </is>
      </c>
      <c r="I99" s="16" t="inlineStr">
        <is>
          <t>Drive TX_THRESH and RX_THRESH interrupt conditions, inject FRAME_ERR via stop-bit corruption, enable TIMEOUT interrupt; verify each INT_STATUS bit controlled by INT_ENABLE gate.</t>
        </is>
      </c>
      <c r="J99" s="16" t="inlineStr"/>
      <c r="K99" s="16" t="inlineStr">
        <is>
          <t>GENERATED</t>
        </is>
      </c>
      <c r="L99" s="16" t="inlineStr"/>
      <c r="M99" s="16" t="inlineStr"/>
      <c r="N99" s="16" t="inlineStr"/>
      <c r="O99" s="16" t="inlineStr">
        <is>
          <t>vhdl/buffered_axi_lite_uart.vhd</t>
        </is>
      </c>
      <c r="P99" s="16" t="inlineStr">
        <is>
          <t>RTL</t>
        </is>
      </c>
      <c r="Q99" s="16" t="inlineStr">
        <is>
          <t>NOT_RUN</t>
        </is>
      </c>
      <c r="R99" s="16" t="inlineStr"/>
      <c r="S99" s="16" t="inlineStr"/>
      <c r="T99" s="16" t="inlineStr"/>
      <c r="U99" s="16" t="inlineStr">
        <is>
          <t>NOT_RUN</t>
        </is>
      </c>
      <c r="V99" s="16" t="inlineStr"/>
      <c r="W99" s="16" t="inlineStr"/>
      <c r="X99" s="17">
        <f>IF(K99="WAIVED","WAIVED",IF(H99="","OPEN",IF(Q99="PASS",IF(Y99&lt;&gt;"","CLOSED","PASSING"),IF(Q99="FAIL","FAILING","COVERED"))))</f>
        <v/>
      </c>
      <c r="Y99" s="16" t="inlineStr"/>
      <c r="Z99" s="16" t="inlineStr"/>
      <c r="AA99" s="16" t="inlineStr"/>
      <c r="AB99" s="16" t="inlineStr">
        <is>
          <t>1.0.0</t>
        </is>
      </c>
      <c r="AC99" s="16" t="inlineStr">
        <is>
          <t>ZUBoard 1CG / Basys 3</t>
        </is>
      </c>
      <c r="AD99" s="16" t="inlineStr">
        <is>
          <t>BALU-RS-001 Rev 0.4</t>
        </is>
      </c>
    </row>
    <row r="100">
      <c r="A100" s="16" t="inlineStr">
        <is>
          <t>UART-REG-024</t>
        </is>
      </c>
      <c r="B100" s="16" t="inlineStr">
        <is>
          <t>REG</t>
        </is>
      </c>
      <c r="C100" s="16" t="inlineStr">
        <is>
          <t>structural</t>
        </is>
      </c>
      <c r="D100" s="16" t="inlineStr">
        <is>
          <t>The Buffered AXI-Lite UART shall assign STATUS[1] as OVERRUN, asserted when an RX overrun occurs per UART-FIFO-007.</t>
        </is>
      </c>
      <c r="E100" s="16" t="inlineStr">
        <is>
          <t>BALU-RS-001</t>
        </is>
      </c>
      <c r="F100" s="16" t="inlineStr">
        <is>
          <t>§8.3</t>
        </is>
      </c>
      <c r="G100" s="16" t="inlineStr">
        <is>
          <t>test</t>
        </is>
      </c>
      <c r="H100" s="16" t="inlineStr">
        <is>
          <t>COV-008</t>
        </is>
      </c>
      <c r="I100" s="16" t="inlineStr">
        <is>
          <t>Fill RX FIFO to capacity then transmit additional byte to force overrun; verify overrun byte discarded and FIFO content unchanged.</t>
        </is>
      </c>
      <c r="J100" s="16" t="inlineStr"/>
      <c r="K100" s="16" t="inlineStr">
        <is>
          <t>GENERATED</t>
        </is>
      </c>
      <c r="L100" s="16" t="inlineStr"/>
      <c r="M100" s="16" t="inlineStr"/>
      <c r="N100" s="16" t="inlineStr"/>
      <c r="O100" s="16" t="inlineStr">
        <is>
          <t>vhdl/buffered_axi_lite_uart.vhd</t>
        </is>
      </c>
      <c r="P100" s="16" t="inlineStr">
        <is>
          <t>RTL</t>
        </is>
      </c>
      <c r="Q100" s="16" t="inlineStr">
        <is>
          <t>NOT_RUN</t>
        </is>
      </c>
      <c r="R100" s="16" t="inlineStr"/>
      <c r="S100" s="16" t="inlineStr"/>
      <c r="T100" s="16" t="inlineStr"/>
      <c r="U100" s="16" t="inlineStr">
        <is>
          <t>NOT_RUN</t>
        </is>
      </c>
      <c r="V100" s="16" t="inlineStr"/>
      <c r="W100" s="16" t="inlineStr"/>
      <c r="X100" s="17">
        <f>IF(K100="WAIVED","WAIVED",IF(H100="","OPEN",IF(Q100="PASS",IF(Y100&lt;&gt;"","CLOSED","PASSING"),IF(Q100="FAIL","FAILING","COVERED"))))</f>
        <v/>
      </c>
      <c r="Y100" s="16" t="inlineStr"/>
      <c r="Z100" s="16" t="inlineStr"/>
      <c r="AA100" s="16" t="inlineStr"/>
      <c r="AB100" s="16" t="inlineStr">
        <is>
          <t>1.0.0</t>
        </is>
      </c>
      <c r="AC100" s="16" t="inlineStr">
        <is>
          <t>ZUBoard 1CG / Basys 3</t>
        </is>
      </c>
      <c r="AD100" s="16" t="inlineStr">
        <is>
          <t>BALU-RS-001 Rev 0.4</t>
        </is>
      </c>
    </row>
    <row r="101">
      <c r="A101" s="16" t="inlineStr">
        <is>
          <t>UART-REG-025</t>
        </is>
      </c>
      <c r="B101" s="16" t="inlineStr">
        <is>
          <t>REG</t>
        </is>
      </c>
      <c r="C101" s="16" t="inlineStr">
        <is>
          <t>structural</t>
        </is>
      </c>
      <c r="D101" s="16" t="inlineStr">
        <is>
          <t>The Buffered AXI-Lite UART shall reserve STATUS[0] as read-only zero.</t>
        </is>
      </c>
      <c r="E101" s="16" t="inlineStr">
        <is>
          <t>BALU-RS-001</t>
        </is>
      </c>
      <c r="F101" s="16" t="inlineStr">
        <is>
          <t>§8.3</t>
        </is>
      </c>
      <c r="G101" s="16" t="inlineStr">
        <is>
          <t>test</t>
        </is>
      </c>
      <c r="H101" s="16" t="inlineStr">
        <is>
          <t>COV-018</t>
        </is>
      </c>
      <c r="I101" s="16" t="inlineStr">
        <is>
          <t>Write to each read-only register (STATUS, FIFO_STATUS, INT_STATUS, INT_CLEAR, TX_DATA reads, RX_DATA writes); read back and verify state unchanged.</t>
        </is>
      </c>
      <c r="J101" s="16" t="inlineStr"/>
      <c r="K101" s="16" t="inlineStr">
        <is>
          <t>GENERATED</t>
        </is>
      </c>
      <c r="L101" s="16" t="inlineStr"/>
      <c r="M101" s="16" t="inlineStr"/>
      <c r="N101" s="16" t="inlineStr"/>
      <c r="O101" s="16" t="inlineStr">
        <is>
          <t>vhdl/buffered_axi_lite_uart.vhd</t>
        </is>
      </c>
      <c r="P101" s="16" t="inlineStr">
        <is>
          <t>RTL</t>
        </is>
      </c>
      <c r="Q101" s="16" t="inlineStr">
        <is>
          <t>NOT_RUN</t>
        </is>
      </c>
      <c r="R101" s="16" t="inlineStr"/>
      <c r="S101" s="16" t="inlineStr"/>
      <c r="T101" s="16" t="inlineStr"/>
      <c r="U101" s="16" t="inlineStr">
        <is>
          <t>NOT_RUN</t>
        </is>
      </c>
      <c r="V101" s="16" t="inlineStr"/>
      <c r="W101" s="16" t="inlineStr"/>
      <c r="X101" s="17">
        <f>IF(K101="WAIVED","WAIVED",IF(H101="","OPEN",IF(Q101="PASS",IF(Y101&lt;&gt;"","CLOSED","PASSING"),IF(Q101="FAIL","FAILING","COVERED"))))</f>
        <v/>
      </c>
      <c r="Y101" s="16" t="inlineStr"/>
      <c r="Z101" s="16" t="inlineStr"/>
      <c r="AA101" s="16" t="inlineStr"/>
      <c r="AB101" s="16" t="inlineStr">
        <is>
          <t>1.0.0</t>
        </is>
      </c>
      <c r="AC101" s="16" t="inlineStr">
        <is>
          <t>ZUBoard 1CG / Basys 3</t>
        </is>
      </c>
      <c r="AD101" s="16" t="inlineStr">
        <is>
          <t>BALU-RS-001 Rev 0.4</t>
        </is>
      </c>
    </row>
    <row r="102">
      <c r="A102" s="16" t="inlineStr">
        <is>
          <t>UART-REG-026</t>
        </is>
      </c>
      <c r="B102" s="16" t="inlineStr">
        <is>
          <t>REG</t>
        </is>
      </c>
      <c r="C102" s="16" t="inlineStr">
        <is>
          <t>structural</t>
        </is>
      </c>
      <c r="D102" s="16" t="inlineStr">
        <is>
          <t>The Buffered AXI-Lite UART shall assign BAUD_TUNING[31:0] as the NCO tuning word per UART-BR-001 through UART-BR-006.</t>
        </is>
      </c>
      <c r="E102" s="16" t="inlineStr">
        <is>
          <t>BALU-RS-001</t>
        </is>
      </c>
      <c r="F102" s="16" t="inlineStr">
        <is>
          <t>§8.4</t>
        </is>
      </c>
      <c r="G102" s="16" t="inlineStr">
        <is>
          <t>test</t>
        </is>
      </c>
      <c r="H102" s="16" t="inlineStr">
        <is>
          <t>COV-001</t>
        </is>
      </c>
      <c r="I102" s="16" t="inlineStr">
        <is>
          <t>NCO tuning word sweep at 12 values from minimum (0x00000001) to maximum (0xFFFFFFFF) including all standard baud rates.</t>
        </is>
      </c>
      <c r="J102" s="16" t="inlineStr"/>
      <c r="K102" s="16" t="inlineStr">
        <is>
          <t>GENERATED</t>
        </is>
      </c>
      <c r="L102" s="16" t="inlineStr"/>
      <c r="M102" s="16" t="inlineStr"/>
      <c r="N102" s="16" t="inlineStr"/>
      <c r="O102" s="16" t="inlineStr">
        <is>
          <t>vhdl/buffered_axi_lite_uart.vhd</t>
        </is>
      </c>
      <c r="P102" s="16" t="inlineStr">
        <is>
          <t>RTL</t>
        </is>
      </c>
      <c r="Q102" s="16" t="inlineStr">
        <is>
          <t>NOT_RUN</t>
        </is>
      </c>
      <c r="R102" s="16" t="inlineStr"/>
      <c r="S102" s="16" t="inlineStr"/>
      <c r="T102" s="16" t="inlineStr"/>
      <c r="U102" s="16" t="inlineStr">
        <is>
          <t>NOT_RUN</t>
        </is>
      </c>
      <c r="V102" s="16" t="inlineStr"/>
      <c r="W102" s="16" t="inlineStr"/>
      <c r="X102" s="17">
        <f>IF(K102="WAIVED","WAIVED",IF(H102="","OPEN",IF(Q102="PASS",IF(Y102&lt;&gt;"","CLOSED","PASSING"),IF(Q102="FAIL","FAILING","COVERED"))))</f>
        <v/>
      </c>
      <c r="Y102" s="16" t="inlineStr"/>
      <c r="Z102" s="16" t="inlineStr"/>
      <c r="AA102" s="16" t="inlineStr"/>
      <c r="AB102" s="16" t="inlineStr">
        <is>
          <t>1.0.0</t>
        </is>
      </c>
      <c r="AC102" s="16" t="inlineStr">
        <is>
          <t>ZUBoard 1CG / Basys 3</t>
        </is>
      </c>
      <c r="AD102" s="16" t="inlineStr">
        <is>
          <t>BALU-RS-001 Rev 0.4</t>
        </is>
      </c>
    </row>
    <row r="103">
      <c r="A103" s="16" t="inlineStr">
        <is>
          <t>UART-REG-027</t>
        </is>
      </c>
      <c r="B103" s="16" t="inlineStr">
        <is>
          <t>REG</t>
        </is>
      </c>
      <c r="C103" s="16" t="inlineStr">
        <is>
          <t>structural</t>
        </is>
      </c>
      <c r="D103" s="16" t="inlineStr">
        <is>
          <t>The Buffered AXI-Lite UART shall implement BAUD_TUNING as a read-write register, returning the current tuning word on any read regardless of UART_EN state.</t>
        </is>
      </c>
      <c r="E103" s="16" t="inlineStr">
        <is>
          <t>BALU-RS-001</t>
        </is>
      </c>
      <c r="F103" s="16" t="inlineStr">
        <is>
          <t>§8.4</t>
        </is>
      </c>
      <c r="G103" s="16" t="inlineStr">
        <is>
          <t>test</t>
        </is>
      </c>
      <c r="H103" s="16" t="inlineStr">
        <is>
          <t>COV-001</t>
        </is>
      </c>
      <c r="I103" s="16" t="inlineStr">
        <is>
          <t>NCO tuning word sweep at 12 values from minimum (0x00000001) to maximum (0xFFFFFFFF) including all standard baud rates.</t>
        </is>
      </c>
      <c r="J103" s="16" t="inlineStr"/>
      <c r="K103" s="16" t="inlineStr">
        <is>
          <t>GENERATED</t>
        </is>
      </c>
      <c r="L103" s="16" t="inlineStr"/>
      <c r="M103" s="16" t="inlineStr"/>
      <c r="N103" s="16" t="inlineStr"/>
      <c r="O103" s="16" t="inlineStr">
        <is>
          <t>vhdl/buffered_axi_lite_uart.vhd</t>
        </is>
      </c>
      <c r="P103" s="16" t="inlineStr">
        <is>
          <t>RTL</t>
        </is>
      </c>
      <c r="Q103" s="16" t="inlineStr">
        <is>
          <t>NOT_RUN</t>
        </is>
      </c>
      <c r="R103" s="16" t="inlineStr"/>
      <c r="S103" s="16" t="inlineStr"/>
      <c r="T103" s="16" t="inlineStr"/>
      <c r="U103" s="16" t="inlineStr">
        <is>
          <t>NOT_RUN</t>
        </is>
      </c>
      <c r="V103" s="16" t="inlineStr"/>
      <c r="W103" s="16" t="inlineStr"/>
      <c r="X103" s="17">
        <f>IF(K103="WAIVED","WAIVED",IF(H103="","OPEN",IF(Q103="PASS",IF(Y103&lt;&gt;"","CLOSED","PASSING"),IF(Q103="FAIL","FAILING","COVERED"))))</f>
        <v/>
      </c>
      <c r="Y103" s="16" t="inlineStr"/>
      <c r="Z103" s="16" t="inlineStr"/>
      <c r="AA103" s="16" t="inlineStr"/>
      <c r="AB103" s="16" t="inlineStr">
        <is>
          <t>1.0.0</t>
        </is>
      </c>
      <c r="AC103" s="16" t="inlineStr">
        <is>
          <t>ZUBoard 1CG / Basys 3</t>
        </is>
      </c>
      <c r="AD103" s="16" t="inlineStr">
        <is>
          <t>BALU-RS-001 Rev 0.4</t>
        </is>
      </c>
    </row>
    <row r="104">
      <c r="A104" s="16" t="inlineStr">
        <is>
          <t>UART-REG-028</t>
        </is>
      </c>
      <c r="B104" s="16" t="inlineStr">
        <is>
          <t>REG</t>
        </is>
      </c>
      <c r="C104" s="16" t="inlineStr">
        <is>
          <t>structural</t>
        </is>
      </c>
      <c r="D104" s="16" t="inlineStr">
        <is>
          <t>The Buffered AXI-Lite UART shall silently ignore writes to BAUD_TUNING while UART_EN is asserted per UART-BR-004.</t>
        </is>
      </c>
      <c r="E104" s="16" t="inlineStr">
        <is>
          <t>BALU-RS-001</t>
        </is>
      </c>
      <c r="F104" s="16" t="inlineStr">
        <is>
          <t>§8.4</t>
        </is>
      </c>
      <c r="G104" s="16" t="inlineStr">
        <is>
          <t>test</t>
        </is>
      </c>
      <c r="H104" s="16" t="inlineStr">
        <is>
          <t>COV-013</t>
        </is>
      </c>
      <c r="I104" s="16" t="inlineStr">
        <is>
          <t>Assert UART_EN, write a new value to BAUD_TUNING, read back and verify original value unchanged; confirms silent-ignore while enabled.</t>
        </is>
      </c>
      <c r="J104" s="16" t="inlineStr"/>
      <c r="K104" s="16" t="inlineStr">
        <is>
          <t>GENERATED</t>
        </is>
      </c>
      <c r="L104" s="16" t="inlineStr"/>
      <c r="M104" s="16" t="inlineStr"/>
      <c r="N104" s="16" t="inlineStr"/>
      <c r="O104" s="16" t="inlineStr">
        <is>
          <t>vhdl/buffered_axi_lite_uart.vhd</t>
        </is>
      </c>
      <c r="P104" s="16" t="inlineStr">
        <is>
          <t>RTL</t>
        </is>
      </c>
      <c r="Q104" s="16" t="inlineStr">
        <is>
          <t>NOT_RUN</t>
        </is>
      </c>
      <c r="R104" s="16" t="inlineStr"/>
      <c r="S104" s="16" t="inlineStr"/>
      <c r="T104" s="16" t="inlineStr"/>
      <c r="U104" s="16" t="inlineStr">
        <is>
          <t>NOT_RUN</t>
        </is>
      </c>
      <c r="V104" s="16" t="inlineStr"/>
      <c r="W104" s="16" t="inlineStr"/>
      <c r="X104" s="17">
        <f>IF(K104="WAIVED","WAIVED",IF(H104="","OPEN",IF(Q104="PASS",IF(Y104&lt;&gt;"","CLOSED","PASSING"),IF(Q104="FAIL","FAILING","COVERED"))))</f>
        <v/>
      </c>
      <c r="Y104" s="16" t="inlineStr"/>
      <c r="Z104" s="16" t="inlineStr"/>
      <c r="AA104" s="16" t="inlineStr"/>
      <c r="AB104" s="16" t="inlineStr">
        <is>
          <t>1.0.0</t>
        </is>
      </c>
      <c r="AC104" s="16" t="inlineStr">
        <is>
          <t>ZUBoard 1CG / Basys 3</t>
        </is>
      </c>
      <c r="AD104" s="16" t="inlineStr">
        <is>
          <t>BALU-RS-001 Rev 0.4</t>
        </is>
      </c>
    </row>
    <row r="105">
      <c r="A105" s="16" t="inlineStr">
        <is>
          <t>UART-REG-029</t>
        </is>
      </c>
      <c r="B105" s="16" t="inlineStr">
        <is>
          <t>REG</t>
        </is>
      </c>
      <c r="C105" s="16" t="inlineStr">
        <is>
          <t>structural</t>
        </is>
      </c>
      <c r="D105" s="16" t="inlineStr">
        <is>
          <t>The Buffered AXI-Lite UART shall assign FIFO_CTRL[15:8] as TX_THRESH, the 8-bit TX FIFO interrupt threshold per UART-INT-009.</t>
        </is>
      </c>
      <c r="E105" s="16" t="inlineStr">
        <is>
          <t>BALU-RS-001</t>
        </is>
      </c>
      <c r="F105" s="16" t="inlineStr">
        <is>
          <t>§8.5</t>
        </is>
      </c>
      <c r="G105" s="16" t="inlineStr">
        <is>
          <t>test</t>
        </is>
      </c>
      <c r="H105" s="16" t="inlineStr">
        <is>
          <t>COV-019</t>
        </is>
      </c>
      <c r="I105" s="16" t="inlineStr">
        <is>
          <t>Drive TX_THRESH and RX_THRESH interrupt conditions, inject FRAME_ERR via stop-bit corruption, enable TIMEOUT interrupt; verify each INT_STATUS bit controlled by INT_ENABLE gate.</t>
        </is>
      </c>
      <c r="J105" s="16" t="inlineStr"/>
      <c r="K105" s="16" t="inlineStr">
        <is>
          <t>GENERATED</t>
        </is>
      </c>
      <c r="L105" s="16" t="inlineStr"/>
      <c r="M105" s="16" t="inlineStr"/>
      <c r="N105" s="16" t="inlineStr"/>
      <c r="O105" s="16" t="inlineStr">
        <is>
          <t>vhdl/buffered_axi_lite_uart.vhd</t>
        </is>
      </c>
      <c r="P105" s="16" t="inlineStr">
        <is>
          <t>RTL</t>
        </is>
      </c>
      <c r="Q105" s="16" t="inlineStr">
        <is>
          <t>NOT_RUN</t>
        </is>
      </c>
      <c r="R105" s="16" t="inlineStr"/>
      <c r="S105" s="16" t="inlineStr"/>
      <c r="T105" s="16" t="inlineStr"/>
      <c r="U105" s="16" t="inlineStr">
        <is>
          <t>NOT_RUN</t>
        </is>
      </c>
      <c r="V105" s="16" t="inlineStr"/>
      <c r="W105" s="16" t="inlineStr"/>
      <c r="X105" s="17">
        <f>IF(K105="WAIVED","WAIVED",IF(H105="","OPEN",IF(Q105="PASS",IF(Y105&lt;&gt;"","CLOSED","PASSING"),IF(Q105="FAIL","FAILING","COVERED"))))</f>
        <v/>
      </c>
      <c r="Y105" s="16" t="inlineStr"/>
      <c r="Z105" s="16" t="inlineStr"/>
      <c r="AA105" s="16" t="inlineStr"/>
      <c r="AB105" s="16" t="inlineStr">
        <is>
          <t>1.0.0</t>
        </is>
      </c>
      <c r="AC105" s="16" t="inlineStr">
        <is>
          <t>ZUBoard 1CG / Basys 3</t>
        </is>
      </c>
      <c r="AD105" s="16" t="inlineStr">
        <is>
          <t>BALU-RS-001 Rev 0.4</t>
        </is>
      </c>
    </row>
    <row r="106">
      <c r="A106" s="16" t="inlineStr">
        <is>
          <t>UART-REG-030</t>
        </is>
      </c>
      <c r="B106" s="16" t="inlineStr">
        <is>
          <t>REG</t>
        </is>
      </c>
      <c r="C106" s="16" t="inlineStr">
        <is>
          <t>structural</t>
        </is>
      </c>
      <c r="D106" s="16" t="inlineStr">
        <is>
          <t>The Buffered AXI-Lite UART shall assign FIFO_CTRL[7:0] as RX_THRESH, the 8-bit RX FIFO interrupt threshold per UART-INT-010.</t>
        </is>
      </c>
      <c r="E106" s="16" t="inlineStr">
        <is>
          <t>BALU-RS-001</t>
        </is>
      </c>
      <c r="F106" s="16" t="inlineStr">
        <is>
          <t>§8.5</t>
        </is>
      </c>
      <c r="G106" s="16" t="inlineStr">
        <is>
          <t>test</t>
        </is>
      </c>
      <c r="H106" s="16" t="inlineStr">
        <is>
          <t>COV-019</t>
        </is>
      </c>
      <c r="I106" s="16" t="inlineStr">
        <is>
          <t>Drive TX_THRESH and RX_THRESH interrupt conditions, inject FRAME_ERR via stop-bit corruption, enable TIMEOUT interrupt; verify each INT_STATUS bit controlled by INT_ENABLE gate.</t>
        </is>
      </c>
      <c r="J106" s="16" t="inlineStr"/>
      <c r="K106" s="16" t="inlineStr">
        <is>
          <t>GENERATED</t>
        </is>
      </c>
      <c r="L106" s="16" t="inlineStr"/>
      <c r="M106" s="16" t="inlineStr"/>
      <c r="N106" s="16" t="inlineStr"/>
      <c r="O106" s="16" t="inlineStr">
        <is>
          <t>vhdl/buffered_axi_lite_uart.vhd</t>
        </is>
      </c>
      <c r="P106" s="16" t="inlineStr">
        <is>
          <t>RTL</t>
        </is>
      </c>
      <c r="Q106" s="16" t="inlineStr">
        <is>
          <t>NOT_RUN</t>
        </is>
      </c>
      <c r="R106" s="16" t="inlineStr"/>
      <c r="S106" s="16" t="inlineStr"/>
      <c r="T106" s="16" t="inlineStr"/>
      <c r="U106" s="16" t="inlineStr">
        <is>
          <t>NOT_RUN</t>
        </is>
      </c>
      <c r="V106" s="16" t="inlineStr"/>
      <c r="W106" s="16" t="inlineStr"/>
      <c r="X106" s="17">
        <f>IF(K106="WAIVED","WAIVED",IF(H106="","OPEN",IF(Q106="PASS",IF(Y106&lt;&gt;"","CLOSED","PASSING"),IF(Q106="FAIL","FAILING","COVERED"))))</f>
        <v/>
      </c>
      <c r="Y106" s="16" t="inlineStr"/>
      <c r="Z106" s="16" t="inlineStr"/>
      <c r="AA106" s="16" t="inlineStr"/>
      <c r="AB106" s="16" t="inlineStr">
        <is>
          <t>1.0.0</t>
        </is>
      </c>
      <c r="AC106" s="16" t="inlineStr">
        <is>
          <t>ZUBoard 1CG / Basys 3</t>
        </is>
      </c>
      <c r="AD106" s="16" t="inlineStr">
        <is>
          <t>BALU-RS-001 Rev 0.4</t>
        </is>
      </c>
    </row>
    <row r="107">
      <c r="A107" s="16" t="inlineStr">
        <is>
          <t>UART-REG-031</t>
        </is>
      </c>
      <c r="B107" s="16" t="inlineStr">
        <is>
          <t>REG</t>
        </is>
      </c>
      <c r="C107" s="16" t="inlineStr">
        <is>
          <t>structural</t>
        </is>
      </c>
      <c r="D107" s="16" t="inlineStr">
        <is>
          <t>The Buffered AXI-Lite UART shall reset FIFO_CTRL such that TX_THRESH = RX_THRESH = G_FIFO_DEPTH / 2 per UART-PAR-008.</t>
        </is>
      </c>
      <c r="E107" s="16" t="inlineStr">
        <is>
          <t>BALU-RS-001</t>
        </is>
      </c>
      <c r="F107" s="16" t="inlineStr">
        <is>
          <t>§8.5</t>
        </is>
      </c>
      <c r="G107" s="16" t="inlineStr">
        <is>
          <t>test</t>
        </is>
      </c>
      <c r="H107" s="16" t="inlineStr">
        <is>
          <t>COV-015</t>
        </is>
      </c>
      <c r="I107" s="16" t="inlineStr">
        <is>
          <t>Assert then deassert reset; read all 12 registers and compare each field to the reset value specified in Table 8-x.</t>
        </is>
      </c>
      <c r="J107" s="16" t="inlineStr"/>
      <c r="K107" s="16" t="inlineStr">
        <is>
          <t>GENERATED</t>
        </is>
      </c>
      <c r="L107" s="16" t="inlineStr"/>
      <c r="M107" s="16" t="inlineStr"/>
      <c r="N107" s="16" t="inlineStr"/>
      <c r="O107" s="16" t="inlineStr">
        <is>
          <t>vhdl/buffered_axi_lite_uart.vhd</t>
        </is>
      </c>
      <c r="P107" s="16" t="inlineStr">
        <is>
          <t>RTL</t>
        </is>
      </c>
      <c r="Q107" s="16" t="inlineStr">
        <is>
          <t>NOT_RUN</t>
        </is>
      </c>
      <c r="R107" s="16" t="inlineStr"/>
      <c r="S107" s="16" t="inlineStr"/>
      <c r="T107" s="16" t="inlineStr"/>
      <c r="U107" s="16" t="inlineStr">
        <is>
          <t>NOT_RUN</t>
        </is>
      </c>
      <c r="V107" s="16" t="inlineStr"/>
      <c r="W107" s="16" t="inlineStr"/>
      <c r="X107" s="17">
        <f>IF(K107="WAIVED","WAIVED",IF(H107="","OPEN",IF(Q107="PASS",IF(Y107&lt;&gt;"","CLOSED","PASSING"),IF(Q107="FAIL","FAILING","COVERED"))))</f>
        <v/>
      </c>
      <c r="Y107" s="16" t="inlineStr"/>
      <c r="Z107" s="16" t="inlineStr"/>
      <c r="AA107" s="16" t="inlineStr"/>
      <c r="AB107" s="16" t="inlineStr">
        <is>
          <t>1.0.0</t>
        </is>
      </c>
      <c r="AC107" s="16" t="inlineStr">
        <is>
          <t>ZUBoard 1CG / Basys 3</t>
        </is>
      </c>
      <c r="AD107" s="16" t="inlineStr">
        <is>
          <t>BALU-RS-001 Rev 0.4</t>
        </is>
      </c>
    </row>
    <row r="108">
      <c r="A108" s="16" t="inlineStr">
        <is>
          <t>UART-REG-032</t>
        </is>
      </c>
      <c r="B108" s="16" t="inlineStr">
        <is>
          <t>REG</t>
        </is>
      </c>
      <c r="C108" s="16" t="inlineStr">
        <is>
          <t>structural</t>
        </is>
      </c>
      <c r="D108" s="16" t="inlineStr">
        <is>
          <t>The Buffered AXI-Lite UART shall implement FIFO_STATUS as a read-only register.</t>
        </is>
      </c>
      <c r="E108" s="16" t="inlineStr">
        <is>
          <t>BALU-RS-001</t>
        </is>
      </c>
      <c r="F108" s="16" t="inlineStr">
        <is>
          <t>§8.6</t>
        </is>
      </c>
      <c r="G108" s="16" t="inlineStr">
        <is>
          <t>test</t>
        </is>
      </c>
      <c r="H108" s="16" t="inlineStr">
        <is>
          <t>COV-017, COV-018</t>
        </is>
      </c>
      <c r="I108" s="16" t="inlineStr">
        <is>
          <t>Structural inspection: verify 8-bit data frames transmitted and received, AXI data width=32, address width sufficient, single-beat transactions only.</t>
        </is>
      </c>
      <c r="J108" s="16" t="inlineStr"/>
      <c r="K108" s="16" t="inlineStr">
        <is>
          <t>GENERATED</t>
        </is>
      </c>
      <c r="L108" s="16" t="inlineStr"/>
      <c r="M108" s="16" t="inlineStr"/>
      <c r="N108" s="16" t="inlineStr"/>
      <c r="O108" s="16" t="inlineStr">
        <is>
          <t>vhdl/buffered_axi_lite_uart.vhd</t>
        </is>
      </c>
      <c r="P108" s="16" t="inlineStr">
        <is>
          <t>RTL</t>
        </is>
      </c>
      <c r="Q108" s="16" t="inlineStr">
        <is>
          <t>NOT_RUN</t>
        </is>
      </c>
      <c r="R108" s="16" t="inlineStr"/>
      <c r="S108" s="16" t="inlineStr"/>
      <c r="T108" s="16" t="inlineStr"/>
      <c r="U108" s="16" t="inlineStr">
        <is>
          <t>NOT_RUN</t>
        </is>
      </c>
      <c r="V108" s="16" t="inlineStr"/>
      <c r="W108" s="16" t="inlineStr"/>
      <c r="X108" s="17">
        <f>IF(K108="WAIVED","WAIVED",IF(H108="","OPEN",IF(Q108="PASS",IF(Y108&lt;&gt;"","CLOSED","PASSING"),IF(Q108="FAIL","FAILING","COVERED"))))</f>
        <v/>
      </c>
      <c r="Y108" s="16" t="inlineStr"/>
      <c r="Z108" s="16" t="inlineStr"/>
      <c r="AA108" s="16" t="inlineStr"/>
      <c r="AB108" s="16" t="inlineStr">
        <is>
          <t>1.0.0</t>
        </is>
      </c>
      <c r="AC108" s="16" t="inlineStr">
        <is>
          <t>ZUBoard 1CG / Basys 3</t>
        </is>
      </c>
      <c r="AD108" s="16" t="inlineStr">
        <is>
          <t>BALU-RS-001 Rev 0.4</t>
        </is>
      </c>
    </row>
    <row r="109">
      <c r="A109" s="16" t="inlineStr">
        <is>
          <t>UART-REG-033</t>
        </is>
      </c>
      <c r="B109" s="16" t="inlineStr">
        <is>
          <t>REG</t>
        </is>
      </c>
      <c r="C109" s="16" t="inlineStr">
        <is>
          <t>structural</t>
        </is>
      </c>
      <c r="D109" s="16" t="inlineStr">
        <is>
          <t>The Buffered AXI-Lite UART shall assign FIFO_STATUS[15:8] as TX_LEVEL per UART-FIFO-008.</t>
        </is>
      </c>
      <c r="E109" s="16" t="inlineStr">
        <is>
          <t>BALU-RS-001</t>
        </is>
      </c>
      <c r="F109" s="16" t="inlineStr">
        <is>
          <t>§8.6</t>
        </is>
      </c>
      <c r="G109" s="16" t="inlineStr">
        <is>
          <t>test</t>
        </is>
      </c>
      <c r="H109" s="16" t="inlineStr">
        <is>
          <t>COV-005, COV-017</t>
        </is>
      </c>
      <c r="I109" s="16" t="inlineStr">
        <is>
          <t>TX FIFO occupancy driven to 0, TX_THRESH-1, TX_THRESH, TX_THRESH+1, and G_FIFO_DEPTH to verify status flags and write-ignore behavior.</t>
        </is>
      </c>
      <c r="J109" s="16" t="inlineStr"/>
      <c r="K109" s="16" t="inlineStr">
        <is>
          <t>GENERATED</t>
        </is>
      </c>
      <c r="L109" s="16" t="inlineStr"/>
      <c r="M109" s="16" t="inlineStr"/>
      <c r="N109" s="16" t="inlineStr"/>
      <c r="O109" s="16" t="inlineStr">
        <is>
          <t>vhdl/buffered_axi_lite_uart.vhd</t>
        </is>
      </c>
      <c r="P109" s="16" t="inlineStr">
        <is>
          <t>RTL</t>
        </is>
      </c>
      <c r="Q109" s="16" t="inlineStr">
        <is>
          <t>NOT_RUN</t>
        </is>
      </c>
      <c r="R109" s="16" t="inlineStr"/>
      <c r="S109" s="16" t="inlineStr"/>
      <c r="T109" s="16" t="inlineStr"/>
      <c r="U109" s="16" t="inlineStr">
        <is>
          <t>NOT_RUN</t>
        </is>
      </c>
      <c r="V109" s="16" t="inlineStr"/>
      <c r="W109" s="16" t="inlineStr"/>
      <c r="X109" s="17">
        <f>IF(K109="WAIVED","WAIVED",IF(H109="","OPEN",IF(Q109="PASS",IF(Y109&lt;&gt;"","CLOSED","PASSING"),IF(Q109="FAIL","FAILING","COVERED"))))</f>
        <v/>
      </c>
      <c r="Y109" s="16" t="inlineStr"/>
      <c r="Z109" s="16" t="inlineStr"/>
      <c r="AA109" s="16" t="inlineStr"/>
      <c r="AB109" s="16" t="inlineStr">
        <is>
          <t>1.0.0</t>
        </is>
      </c>
      <c r="AC109" s="16" t="inlineStr">
        <is>
          <t>ZUBoard 1CG / Basys 3</t>
        </is>
      </c>
      <c r="AD109" s="16" t="inlineStr">
        <is>
          <t>BALU-RS-001 Rev 0.4</t>
        </is>
      </c>
    </row>
    <row r="110">
      <c r="A110" s="16" t="inlineStr">
        <is>
          <t>UART-REG-034</t>
        </is>
      </c>
      <c r="B110" s="16" t="inlineStr">
        <is>
          <t>REG</t>
        </is>
      </c>
      <c r="C110" s="16" t="inlineStr">
        <is>
          <t>structural</t>
        </is>
      </c>
      <c r="D110" s="16" t="inlineStr">
        <is>
          <t>The Buffered AXI-Lite UART shall assign FIFO_STATUS[7:0] as RX_LEVEL per UART-FIFO-009.</t>
        </is>
      </c>
      <c r="E110" s="16" t="inlineStr">
        <is>
          <t>BALU-RS-001</t>
        </is>
      </c>
      <c r="F110" s="16" t="inlineStr">
        <is>
          <t>§8.6</t>
        </is>
      </c>
      <c r="G110" s="16" t="inlineStr">
        <is>
          <t>test</t>
        </is>
      </c>
      <c r="H110" s="16" t="inlineStr">
        <is>
          <t>COV-004, COV-017</t>
        </is>
      </c>
      <c r="I110" s="16" t="inlineStr">
        <is>
          <t>RX FIFO occupancy driven to 0, RX_THRESH-1, RX_THRESH, RX_THRESH+1, and G_FIFO_DEPTH to verify status flags and overrun discard.</t>
        </is>
      </c>
      <c r="J110" s="16" t="inlineStr"/>
      <c r="K110" s="16" t="inlineStr">
        <is>
          <t>GENERATED</t>
        </is>
      </c>
      <c r="L110" s="16" t="inlineStr"/>
      <c r="M110" s="16" t="inlineStr"/>
      <c r="N110" s="16" t="inlineStr"/>
      <c r="O110" s="16" t="inlineStr">
        <is>
          <t>vhdl/buffered_axi_lite_uart.vhd</t>
        </is>
      </c>
      <c r="P110" s="16" t="inlineStr">
        <is>
          <t>RTL</t>
        </is>
      </c>
      <c r="Q110" s="16" t="inlineStr">
        <is>
          <t>NOT_RUN</t>
        </is>
      </c>
      <c r="R110" s="16" t="inlineStr"/>
      <c r="S110" s="16" t="inlineStr"/>
      <c r="T110" s="16" t="inlineStr"/>
      <c r="U110" s="16" t="inlineStr">
        <is>
          <t>NOT_RUN</t>
        </is>
      </c>
      <c r="V110" s="16" t="inlineStr"/>
      <c r="W110" s="16" t="inlineStr"/>
      <c r="X110" s="17">
        <f>IF(K110="WAIVED","WAIVED",IF(H110="","OPEN",IF(Q110="PASS",IF(Y110&lt;&gt;"","CLOSED","PASSING"),IF(Q110="FAIL","FAILING","COVERED"))))</f>
        <v/>
      </c>
      <c r="Y110" s="16" t="inlineStr"/>
      <c r="Z110" s="16" t="inlineStr"/>
      <c r="AA110" s="16" t="inlineStr"/>
      <c r="AB110" s="16" t="inlineStr">
        <is>
          <t>1.0.0</t>
        </is>
      </c>
      <c r="AC110" s="16" t="inlineStr">
        <is>
          <t>ZUBoard 1CG / Basys 3</t>
        </is>
      </c>
      <c r="AD110" s="16" t="inlineStr">
        <is>
          <t>BALU-RS-001 Rev 0.4</t>
        </is>
      </c>
    </row>
    <row r="111">
      <c r="A111" s="16" t="inlineStr">
        <is>
          <t>UART-REG-035</t>
        </is>
      </c>
      <c r="B111" s="16" t="inlineStr">
        <is>
          <t>REG</t>
        </is>
      </c>
      <c r="C111" s="16" t="inlineStr">
        <is>
          <t>structural</t>
        </is>
      </c>
      <c r="D111" s="16" t="inlineStr">
        <is>
          <t>The Buffered AXI-Lite UART shall assign TIMEOUT_VAL[15:0] as the receive timeout count in baud clock ticks per UART-TO-001 through UART-TO-007.</t>
        </is>
      </c>
      <c r="E111" s="16" t="inlineStr">
        <is>
          <t>BALU-RS-001</t>
        </is>
      </c>
      <c r="F111" s="16" t="inlineStr">
        <is>
          <t>§8.7</t>
        </is>
      </c>
      <c r="G111" s="16" t="inlineStr">
        <is>
          <t>test</t>
        </is>
      </c>
      <c r="H111" s="16" t="inlineStr">
        <is>
          <t>COV-006</t>
        </is>
      </c>
      <c r="I111" s="16" t="inlineStr">
        <is>
          <t>TIMEOUT_VAL set to 0x0000, 0x0001, G_TIMEOUT_DEFAULT, 0xFFFE, and 0xFFFF; idle receiver until timeout fires for each non-zero value.</t>
        </is>
      </c>
      <c r="J111" s="16" t="inlineStr"/>
      <c r="K111" s="16" t="inlineStr">
        <is>
          <t>GENERATED</t>
        </is>
      </c>
      <c r="L111" s="16" t="inlineStr"/>
      <c r="M111" s="16" t="inlineStr"/>
      <c r="N111" s="16" t="inlineStr"/>
      <c r="O111" s="16" t="inlineStr">
        <is>
          <t>vhdl/buffered_axi_lite_uart.vhd</t>
        </is>
      </c>
      <c r="P111" s="16" t="inlineStr">
        <is>
          <t>RTL</t>
        </is>
      </c>
      <c r="Q111" s="16" t="inlineStr">
        <is>
          <t>NOT_RUN</t>
        </is>
      </c>
      <c r="R111" s="16" t="inlineStr"/>
      <c r="S111" s="16" t="inlineStr"/>
      <c r="T111" s="16" t="inlineStr"/>
      <c r="U111" s="16" t="inlineStr">
        <is>
          <t>NOT_RUN</t>
        </is>
      </c>
      <c r="V111" s="16" t="inlineStr"/>
      <c r="W111" s="16" t="inlineStr"/>
      <c r="X111" s="17">
        <f>IF(K111="WAIVED","WAIVED",IF(H111="","OPEN",IF(Q111="PASS",IF(Y111&lt;&gt;"","CLOSED","PASSING"),IF(Q111="FAIL","FAILING","COVERED"))))</f>
        <v/>
      </c>
      <c r="Y111" s="16" t="inlineStr"/>
      <c r="Z111" s="16" t="inlineStr"/>
      <c r="AA111" s="16" t="inlineStr"/>
      <c r="AB111" s="16" t="inlineStr">
        <is>
          <t>1.0.0</t>
        </is>
      </c>
      <c r="AC111" s="16" t="inlineStr">
        <is>
          <t>ZUBoard 1CG / Basys 3</t>
        </is>
      </c>
      <c r="AD111" s="16" t="inlineStr">
        <is>
          <t>BALU-RS-001 Rev 0.4</t>
        </is>
      </c>
    </row>
    <row r="112">
      <c r="A112" s="16" t="inlineStr">
        <is>
          <t>UART-REG-036</t>
        </is>
      </c>
      <c r="B112" s="16" t="inlineStr">
        <is>
          <t>REG</t>
        </is>
      </c>
      <c r="C112" s="16" t="inlineStr">
        <is>
          <t>structural</t>
        </is>
      </c>
      <c r="D112" s="16" t="inlineStr">
        <is>
          <t>The Buffered AXI-Lite UART shall reset TIMEOUT_VAL to G_TIMEOUT_DEFAULT.</t>
        </is>
      </c>
      <c r="E112" s="16" t="inlineStr">
        <is>
          <t>BALU-RS-001</t>
        </is>
      </c>
      <c r="F112" s="16" t="inlineStr">
        <is>
          <t>§8.7</t>
        </is>
      </c>
      <c r="G112" s="16" t="inlineStr">
        <is>
          <t>test</t>
        </is>
      </c>
      <c r="H112" s="16" t="inlineStr">
        <is>
          <t>COV-006, COV-015</t>
        </is>
      </c>
      <c r="I112" s="16" t="inlineStr">
        <is>
          <t>TIMEOUT_VAL set to 0x0000, 0x0001, G_TIMEOUT_DEFAULT, 0xFFFE, and 0xFFFF; idle receiver until timeout fires for each non-zero value.</t>
        </is>
      </c>
      <c r="J112" s="16" t="inlineStr"/>
      <c r="K112" s="16" t="inlineStr">
        <is>
          <t>GENERATED</t>
        </is>
      </c>
      <c r="L112" s="16" t="inlineStr"/>
      <c r="M112" s="16" t="inlineStr"/>
      <c r="N112" s="16" t="inlineStr"/>
      <c r="O112" s="16" t="inlineStr">
        <is>
          <t>vhdl/buffered_axi_lite_uart.vhd</t>
        </is>
      </c>
      <c r="P112" s="16" t="inlineStr">
        <is>
          <t>RTL</t>
        </is>
      </c>
      <c r="Q112" s="16" t="inlineStr">
        <is>
          <t>NOT_RUN</t>
        </is>
      </c>
      <c r="R112" s="16" t="inlineStr"/>
      <c r="S112" s="16" t="inlineStr"/>
      <c r="T112" s="16" t="inlineStr"/>
      <c r="U112" s="16" t="inlineStr">
        <is>
          <t>NOT_RUN</t>
        </is>
      </c>
      <c r="V112" s="16" t="inlineStr"/>
      <c r="W112" s="16" t="inlineStr"/>
      <c r="X112" s="17">
        <f>IF(K112="WAIVED","WAIVED",IF(H112="","OPEN",IF(Q112="PASS",IF(Y112&lt;&gt;"","CLOSED","PASSING"),IF(Q112="FAIL","FAILING","COVERED"))))</f>
        <v/>
      </c>
      <c r="Y112" s="16" t="inlineStr"/>
      <c r="Z112" s="16" t="inlineStr"/>
      <c r="AA112" s="16" t="inlineStr"/>
      <c r="AB112" s="16" t="inlineStr">
        <is>
          <t>1.0.0</t>
        </is>
      </c>
      <c r="AC112" s="16" t="inlineStr">
        <is>
          <t>ZUBoard 1CG / Basys 3</t>
        </is>
      </c>
      <c r="AD112" s="16" t="inlineStr">
        <is>
          <t>BALU-RS-001 Rev 0.4</t>
        </is>
      </c>
    </row>
    <row r="113">
      <c r="A113" s="16" t="inlineStr">
        <is>
          <t>UART-REG-037</t>
        </is>
      </c>
      <c r="B113" s="16" t="inlineStr">
        <is>
          <t>REG</t>
        </is>
      </c>
      <c r="C113" s="16" t="inlineStr">
        <is>
          <t>structural</t>
        </is>
      </c>
      <c r="D113" s="16" t="inlineStr">
        <is>
          <t>The Buffered AXI-Lite UART shall assign INT_ENABLE[7:0] as individual enable bits for each interrupt source per UART-INT-006. Bit positions shall correspond to INT_STATUS bit positions.</t>
        </is>
      </c>
      <c r="E113" s="16" t="inlineStr">
        <is>
          <t>BALU-RS-001</t>
        </is>
      </c>
      <c r="F113" s="16" t="inlineStr">
        <is>
          <t>§8.8</t>
        </is>
      </c>
      <c r="G113" s="16" t="inlineStr">
        <is>
          <t>test</t>
        </is>
      </c>
      <c r="H113" s="16" t="inlineStr">
        <is>
          <t>COV-007, COV-019</t>
        </is>
      </c>
      <c r="I113" s="16" t="inlineStr">
        <is>
          <t>Each of 8 interrupt sources set and cleared independently via directed stimulus; verify IRQ asserts and deasserts correctly for each bit.</t>
        </is>
      </c>
      <c r="J113" s="16" t="inlineStr"/>
      <c r="K113" s="16" t="inlineStr">
        <is>
          <t>GENERATED</t>
        </is>
      </c>
      <c r="L113" s="16" t="inlineStr"/>
      <c r="M113" s="16" t="inlineStr"/>
      <c r="N113" s="16" t="inlineStr"/>
      <c r="O113" s="16" t="inlineStr">
        <is>
          <t>vhdl/buffered_axi_lite_uart.vhd</t>
        </is>
      </c>
      <c r="P113" s="16" t="inlineStr">
        <is>
          <t>RTL</t>
        </is>
      </c>
      <c r="Q113" s="16" t="inlineStr">
        <is>
          <t>NOT_RUN</t>
        </is>
      </c>
      <c r="R113" s="16" t="inlineStr"/>
      <c r="S113" s="16" t="inlineStr"/>
      <c r="T113" s="16" t="inlineStr"/>
      <c r="U113" s="16" t="inlineStr">
        <is>
          <t>NOT_RUN</t>
        </is>
      </c>
      <c r="V113" s="16" t="inlineStr"/>
      <c r="W113" s="16" t="inlineStr"/>
      <c r="X113" s="17">
        <f>IF(K113="WAIVED","WAIVED",IF(H113="","OPEN",IF(Q113="PASS",IF(Y113&lt;&gt;"","CLOSED","PASSING"),IF(Q113="FAIL","FAILING","COVERED"))))</f>
        <v/>
      </c>
      <c r="Y113" s="16" t="inlineStr"/>
      <c r="Z113" s="16" t="inlineStr"/>
      <c r="AA113" s="16" t="inlineStr"/>
      <c r="AB113" s="16" t="inlineStr">
        <is>
          <t>1.0.0</t>
        </is>
      </c>
      <c r="AC113" s="16" t="inlineStr">
        <is>
          <t>ZUBoard 1CG / Basys 3</t>
        </is>
      </c>
      <c r="AD113" s="16" t="inlineStr">
        <is>
          <t>BALU-RS-001 Rev 0.4</t>
        </is>
      </c>
    </row>
    <row r="114">
      <c r="A114" s="16" t="inlineStr">
        <is>
          <t>UART-REG-038</t>
        </is>
      </c>
      <c r="B114" s="16" t="inlineStr">
        <is>
          <t>REG</t>
        </is>
      </c>
      <c r="C114" s="16" t="inlineStr">
        <is>
          <t>structural</t>
        </is>
      </c>
      <c r="D114" s="16" t="inlineStr">
        <is>
          <t>The Buffered AXI-Lite UART shall implement INT_STATUS as a read-only register, silently ignoring writes.</t>
        </is>
      </c>
      <c r="E114" s="16" t="inlineStr">
        <is>
          <t>BALU-RS-001</t>
        </is>
      </c>
      <c r="F114" s="16" t="inlineStr">
        <is>
          <t>§8.9</t>
        </is>
      </c>
      <c r="G114" s="16" t="inlineStr">
        <is>
          <t>test</t>
        </is>
      </c>
      <c r="H114" s="16" t="inlineStr">
        <is>
          <t>COV-018, COV-019</t>
        </is>
      </c>
      <c r="I114" s="16" t="inlineStr">
        <is>
          <t>Write to each read-only register (STATUS, FIFO_STATUS, INT_STATUS, INT_CLEAR, TX_DATA reads, RX_DATA writes); read back and verify state unchanged.</t>
        </is>
      </c>
      <c r="J114" s="16" t="inlineStr"/>
      <c r="K114" s="16" t="inlineStr">
        <is>
          <t>GENERATED</t>
        </is>
      </c>
      <c r="L114" s="16" t="inlineStr"/>
      <c r="M114" s="16" t="inlineStr"/>
      <c r="N114" s="16" t="inlineStr"/>
      <c r="O114" s="16" t="inlineStr">
        <is>
          <t>vhdl/buffered_axi_lite_uart.vhd</t>
        </is>
      </c>
      <c r="P114" s="16" t="inlineStr">
        <is>
          <t>RTL</t>
        </is>
      </c>
      <c r="Q114" s="16" t="inlineStr">
        <is>
          <t>NOT_RUN</t>
        </is>
      </c>
      <c r="R114" s="16" t="inlineStr"/>
      <c r="S114" s="16" t="inlineStr"/>
      <c r="T114" s="16" t="inlineStr"/>
      <c r="U114" s="16" t="inlineStr">
        <is>
          <t>NOT_RUN</t>
        </is>
      </c>
      <c r="V114" s="16" t="inlineStr"/>
      <c r="W114" s="16" t="inlineStr"/>
      <c r="X114" s="17">
        <f>IF(K114="WAIVED","WAIVED",IF(H114="","OPEN",IF(Q114="PASS",IF(Y114&lt;&gt;"","CLOSED","PASSING"),IF(Q114="FAIL","FAILING","COVERED"))))</f>
        <v/>
      </c>
      <c r="Y114" s="16" t="inlineStr"/>
      <c r="Z114" s="16" t="inlineStr"/>
      <c r="AA114" s="16" t="inlineStr"/>
      <c r="AB114" s="16" t="inlineStr">
        <is>
          <t>1.0.0</t>
        </is>
      </c>
      <c r="AC114" s="16" t="inlineStr">
        <is>
          <t>ZUBoard 1CG / Basys 3</t>
        </is>
      </c>
      <c r="AD114" s="16" t="inlineStr">
        <is>
          <t>BALU-RS-001 Rev 0.4</t>
        </is>
      </c>
    </row>
    <row r="115">
      <c r="A115" s="16" t="inlineStr">
        <is>
          <t>UART-REG-039</t>
        </is>
      </c>
      <c r="B115" s="16" t="inlineStr">
        <is>
          <t>REG</t>
        </is>
      </c>
      <c r="C115" s="16" t="inlineStr">
        <is>
          <t>structural</t>
        </is>
      </c>
      <c r="D115" s="16" t="inlineStr">
        <is>
          <t>The Buffered AXI-Lite UART shall implement INT_STATUS bits as sticky per UART-INT-002 and UART-INT-003.</t>
        </is>
      </c>
      <c r="E115" s="16" t="inlineStr">
        <is>
          <t>BALU-RS-001</t>
        </is>
      </c>
      <c r="F115" s="16" t="inlineStr">
        <is>
          <t>§8.9</t>
        </is>
      </c>
      <c r="G115" s="16" t="inlineStr">
        <is>
          <t>test</t>
        </is>
      </c>
      <c r="H115" s="16" t="inlineStr">
        <is>
          <t>COV-007, COV-019</t>
        </is>
      </c>
      <c r="I115" s="16" t="inlineStr">
        <is>
          <t>Each of 8 interrupt sources set and cleared independently via directed stimulus; verify IRQ asserts and deasserts correctly for each bit.</t>
        </is>
      </c>
      <c r="J115" s="16" t="inlineStr"/>
      <c r="K115" s="16" t="inlineStr">
        <is>
          <t>GENERATED</t>
        </is>
      </c>
      <c r="L115" s="16" t="inlineStr"/>
      <c r="M115" s="16" t="inlineStr"/>
      <c r="N115" s="16" t="inlineStr"/>
      <c r="O115" s="16" t="inlineStr">
        <is>
          <t>vhdl/buffered_axi_lite_uart.vhd</t>
        </is>
      </c>
      <c r="P115" s="16" t="inlineStr">
        <is>
          <t>RTL</t>
        </is>
      </c>
      <c r="Q115" s="16" t="inlineStr">
        <is>
          <t>NOT_RUN</t>
        </is>
      </c>
      <c r="R115" s="16" t="inlineStr"/>
      <c r="S115" s="16" t="inlineStr"/>
      <c r="T115" s="16" t="inlineStr"/>
      <c r="U115" s="16" t="inlineStr">
        <is>
          <t>NOT_RUN</t>
        </is>
      </c>
      <c r="V115" s="16" t="inlineStr"/>
      <c r="W115" s="16" t="inlineStr"/>
      <c r="X115" s="17">
        <f>IF(K115="WAIVED","WAIVED",IF(H115="","OPEN",IF(Q115="PASS",IF(Y115&lt;&gt;"","CLOSED","PASSING"),IF(Q115="FAIL","FAILING","COVERED"))))</f>
        <v/>
      </c>
      <c r="Y115" s="16" t="inlineStr"/>
      <c r="Z115" s="16" t="inlineStr"/>
      <c r="AA115" s="16" t="inlineStr"/>
      <c r="AB115" s="16" t="inlineStr">
        <is>
          <t>1.0.0</t>
        </is>
      </c>
      <c r="AC115" s="16" t="inlineStr">
        <is>
          <t>ZUBoard 1CG / Basys 3</t>
        </is>
      </c>
      <c r="AD115" s="16" t="inlineStr">
        <is>
          <t>BALU-RS-001 Rev 0.4</t>
        </is>
      </c>
    </row>
    <row r="116">
      <c r="A116" s="16" t="inlineStr">
        <is>
          <t>UART-REG-040</t>
        </is>
      </c>
      <c r="B116" s="16" t="inlineStr">
        <is>
          <t>REG</t>
        </is>
      </c>
      <c r="C116" s="16" t="inlineStr">
        <is>
          <t>structural</t>
        </is>
      </c>
      <c r="D116" s="16" t="inlineStr">
        <is>
          <t>The Buffered AXI-Lite UART shall assign INT_STATUS bit positions as: [7] TIMEOUT, [6] TX_THRESH, [5] RX_THRESH, [4] TX_EMPTY, [3] RX_FULL, [2] PARITY_ERR, [1] FRAME_ERR, [0] OVERRUN.</t>
        </is>
      </c>
      <c r="E116" s="16" t="inlineStr">
        <is>
          <t>BALU-RS-001</t>
        </is>
      </c>
      <c r="F116" s="16" t="inlineStr">
        <is>
          <t>§8.9</t>
        </is>
      </c>
      <c r="G116" s="16" t="inlineStr">
        <is>
          <t>test</t>
        </is>
      </c>
      <c r="H116" s="16" t="inlineStr">
        <is>
          <t>COV-007, COV-019</t>
        </is>
      </c>
      <c r="I116" s="16" t="inlineStr">
        <is>
          <t>Each of 8 interrupt sources set and cleared independently via directed stimulus; verify IRQ asserts and deasserts correctly for each bit.</t>
        </is>
      </c>
      <c r="J116" s="16" t="inlineStr"/>
      <c r="K116" s="16" t="inlineStr">
        <is>
          <t>GENERATED</t>
        </is>
      </c>
      <c r="L116" s="16" t="inlineStr"/>
      <c r="M116" s="16" t="inlineStr"/>
      <c r="N116" s="16" t="inlineStr"/>
      <c r="O116" s="16" t="inlineStr">
        <is>
          <t>vhdl/buffered_axi_lite_uart.vhd</t>
        </is>
      </c>
      <c r="P116" s="16" t="inlineStr">
        <is>
          <t>RTL</t>
        </is>
      </c>
      <c r="Q116" s="16" t="inlineStr">
        <is>
          <t>NOT_RUN</t>
        </is>
      </c>
      <c r="R116" s="16" t="inlineStr"/>
      <c r="S116" s="16" t="inlineStr"/>
      <c r="T116" s="16" t="inlineStr"/>
      <c r="U116" s="16" t="inlineStr">
        <is>
          <t>NOT_RUN</t>
        </is>
      </c>
      <c r="V116" s="16" t="inlineStr"/>
      <c r="W116" s="16" t="inlineStr"/>
      <c r="X116" s="17">
        <f>IF(K116="WAIVED","WAIVED",IF(H116="","OPEN",IF(Q116="PASS",IF(Y116&lt;&gt;"","CLOSED","PASSING"),IF(Q116="FAIL","FAILING","COVERED"))))</f>
        <v/>
      </c>
      <c r="Y116" s="16" t="inlineStr"/>
      <c r="Z116" s="16" t="inlineStr"/>
      <c r="AA116" s="16" t="inlineStr"/>
      <c r="AB116" s="16" t="inlineStr">
        <is>
          <t>1.0.0</t>
        </is>
      </c>
      <c r="AC116" s="16" t="inlineStr">
        <is>
          <t>ZUBoard 1CG / Basys 3</t>
        </is>
      </c>
      <c r="AD116" s="16" t="inlineStr">
        <is>
          <t>BALU-RS-001 Rev 0.4</t>
        </is>
      </c>
    </row>
    <row r="117">
      <c r="A117" s="16" t="inlineStr">
        <is>
          <t>UART-REG-041</t>
        </is>
      </c>
      <c r="B117" s="16" t="inlineStr">
        <is>
          <t>REG</t>
        </is>
      </c>
      <c r="C117" s="16" t="inlineStr">
        <is>
          <t>structural</t>
        </is>
      </c>
      <c r="D117" s="16" t="inlineStr">
        <is>
          <t>The Buffered AXI-Lite UART shall implement INT_CLEAR with W1C behavior per UART-INT-002 and UART-INT-004.</t>
        </is>
      </c>
      <c r="E117" s="16" t="inlineStr">
        <is>
          <t>BALU-RS-001</t>
        </is>
      </c>
      <c r="F117" s="16" t="inlineStr">
        <is>
          <t>§8.10</t>
        </is>
      </c>
      <c r="G117" s="16" t="inlineStr">
        <is>
          <t>test</t>
        </is>
      </c>
      <c r="H117" s="16" t="inlineStr">
        <is>
          <t>COV-019</t>
        </is>
      </c>
      <c r="I117" s="16" t="inlineStr">
        <is>
          <t>Drive TX_THRESH and RX_THRESH interrupt conditions, inject FRAME_ERR via stop-bit corruption, enable TIMEOUT interrupt; verify each INT_STATUS bit controlled by INT_ENABLE gate.</t>
        </is>
      </c>
      <c r="J117" s="16" t="inlineStr"/>
      <c r="K117" s="16" t="inlineStr">
        <is>
          <t>GENERATED</t>
        </is>
      </c>
      <c r="L117" s="16" t="inlineStr"/>
      <c r="M117" s="16" t="inlineStr"/>
      <c r="N117" s="16" t="inlineStr"/>
      <c r="O117" s="16" t="inlineStr">
        <is>
          <t>vhdl/buffered_axi_lite_uart.vhd</t>
        </is>
      </c>
      <c r="P117" s="16" t="inlineStr">
        <is>
          <t>RTL</t>
        </is>
      </c>
      <c r="Q117" s="16" t="inlineStr">
        <is>
          <t>NOT_RUN</t>
        </is>
      </c>
      <c r="R117" s="16" t="inlineStr"/>
      <c r="S117" s="16" t="inlineStr"/>
      <c r="T117" s="16" t="inlineStr"/>
      <c r="U117" s="16" t="inlineStr">
        <is>
          <t>NOT_RUN</t>
        </is>
      </c>
      <c r="V117" s="16" t="inlineStr"/>
      <c r="W117" s="16" t="inlineStr"/>
      <c r="X117" s="17">
        <f>IF(K117="WAIVED","WAIVED",IF(H117="","OPEN",IF(Q117="PASS",IF(Y117&lt;&gt;"","CLOSED","PASSING"),IF(Q117="FAIL","FAILING","COVERED"))))</f>
        <v/>
      </c>
      <c r="Y117" s="16" t="inlineStr"/>
      <c r="Z117" s="16" t="inlineStr"/>
      <c r="AA117" s="16" t="inlineStr"/>
      <c r="AB117" s="16" t="inlineStr">
        <is>
          <t>1.0.0</t>
        </is>
      </c>
      <c r="AC117" s="16" t="inlineStr">
        <is>
          <t>ZUBoard 1CG / Basys 3</t>
        </is>
      </c>
      <c r="AD117" s="16" t="inlineStr">
        <is>
          <t>BALU-RS-001 Rev 0.4</t>
        </is>
      </c>
    </row>
    <row r="118">
      <c r="A118" s="16" t="inlineStr">
        <is>
          <t>UART-REG-042</t>
        </is>
      </c>
      <c r="B118" s="16" t="inlineStr">
        <is>
          <t>REG</t>
        </is>
      </c>
      <c r="C118" s="16" t="inlineStr">
        <is>
          <t>structural</t>
        </is>
      </c>
      <c r="D118" s="16" t="inlineStr">
        <is>
          <t>The Buffered AXI-Lite UART shall return zero from INT_CLEAR on all reads per UART-INT-005.</t>
        </is>
      </c>
      <c r="E118" s="16" t="inlineStr">
        <is>
          <t>BALU-RS-001</t>
        </is>
      </c>
      <c r="F118" s="16" t="inlineStr">
        <is>
          <t>§8.10</t>
        </is>
      </c>
      <c r="G118" s="16" t="inlineStr">
        <is>
          <t>test</t>
        </is>
      </c>
      <c r="H118" s="16" t="inlineStr">
        <is>
          <t>COV-018, COV-019</t>
        </is>
      </c>
      <c r="I118" s="16" t="inlineStr">
        <is>
          <t>Write to each read-only register (STATUS, FIFO_STATUS, INT_STATUS, INT_CLEAR, TX_DATA reads, RX_DATA writes); read back and verify state unchanged.</t>
        </is>
      </c>
      <c r="J118" s="16" t="inlineStr"/>
      <c r="K118" s="16" t="inlineStr">
        <is>
          <t>GENERATED</t>
        </is>
      </c>
      <c r="L118" s="16" t="inlineStr"/>
      <c r="M118" s="16" t="inlineStr"/>
      <c r="N118" s="16" t="inlineStr"/>
      <c r="O118" s="16" t="inlineStr">
        <is>
          <t>vhdl/buffered_axi_lite_uart.vhd</t>
        </is>
      </c>
      <c r="P118" s="16" t="inlineStr">
        <is>
          <t>RTL</t>
        </is>
      </c>
      <c r="Q118" s="16" t="inlineStr">
        <is>
          <t>NOT_RUN</t>
        </is>
      </c>
      <c r="R118" s="16" t="inlineStr"/>
      <c r="S118" s="16" t="inlineStr"/>
      <c r="T118" s="16" t="inlineStr"/>
      <c r="U118" s="16" t="inlineStr">
        <is>
          <t>NOT_RUN</t>
        </is>
      </c>
      <c r="V118" s="16" t="inlineStr"/>
      <c r="W118" s="16" t="inlineStr"/>
      <c r="X118" s="17">
        <f>IF(K118="WAIVED","WAIVED",IF(H118="","OPEN",IF(Q118="PASS",IF(Y118&lt;&gt;"","CLOSED","PASSING"),IF(Q118="FAIL","FAILING","COVERED"))))</f>
        <v/>
      </c>
      <c r="Y118" s="16" t="inlineStr"/>
      <c r="Z118" s="16" t="inlineStr"/>
      <c r="AA118" s="16" t="inlineStr"/>
      <c r="AB118" s="16" t="inlineStr">
        <is>
          <t>1.0.0</t>
        </is>
      </c>
      <c r="AC118" s="16" t="inlineStr">
        <is>
          <t>ZUBoard 1CG / Basys 3</t>
        </is>
      </c>
      <c r="AD118" s="16" t="inlineStr">
        <is>
          <t>BALU-RS-001 Rev 0.4</t>
        </is>
      </c>
    </row>
    <row r="119">
      <c r="A119" s="16" t="inlineStr">
        <is>
          <t>UART-REG-043</t>
        </is>
      </c>
      <c r="B119" s="16" t="inlineStr">
        <is>
          <t>REG</t>
        </is>
      </c>
      <c r="C119" s="16" t="inlineStr">
        <is>
          <t>structural</t>
        </is>
      </c>
      <c r="D119" s="16" t="inlineStr">
        <is>
          <t>The Buffered AXI-Lite UART shall align INT_CLEAR bit positions with INT_STATUS bit positions.</t>
        </is>
      </c>
      <c r="E119" s="16" t="inlineStr">
        <is>
          <t>BALU-RS-001</t>
        </is>
      </c>
      <c r="F119" s="16" t="inlineStr">
        <is>
          <t>§8.10</t>
        </is>
      </c>
      <c r="G119" s="16" t="inlineStr">
        <is>
          <t>test</t>
        </is>
      </c>
      <c r="H119" s="16" t="inlineStr">
        <is>
          <t>COV-019</t>
        </is>
      </c>
      <c r="I119" s="16" t="inlineStr">
        <is>
          <t>Drive TX_THRESH and RX_THRESH interrupt conditions, inject FRAME_ERR via stop-bit corruption, enable TIMEOUT interrupt; verify each INT_STATUS bit controlled by INT_ENABLE gate.</t>
        </is>
      </c>
      <c r="J119" s="16" t="inlineStr"/>
      <c r="K119" s="16" t="inlineStr">
        <is>
          <t>GENERATED</t>
        </is>
      </c>
      <c r="L119" s="16" t="inlineStr"/>
      <c r="M119" s="16" t="inlineStr"/>
      <c r="N119" s="16" t="inlineStr"/>
      <c r="O119" s="16" t="inlineStr">
        <is>
          <t>vhdl/buffered_axi_lite_uart.vhd</t>
        </is>
      </c>
      <c r="P119" s="16" t="inlineStr">
        <is>
          <t>RTL</t>
        </is>
      </c>
      <c r="Q119" s="16" t="inlineStr">
        <is>
          <t>NOT_RUN</t>
        </is>
      </c>
      <c r="R119" s="16" t="inlineStr"/>
      <c r="S119" s="16" t="inlineStr"/>
      <c r="T119" s="16" t="inlineStr"/>
      <c r="U119" s="16" t="inlineStr">
        <is>
          <t>NOT_RUN</t>
        </is>
      </c>
      <c r="V119" s="16" t="inlineStr"/>
      <c r="W119" s="16" t="inlineStr"/>
      <c r="X119" s="17">
        <f>IF(K119="WAIVED","WAIVED",IF(H119="","OPEN",IF(Q119="PASS",IF(Y119&lt;&gt;"","CLOSED","PASSING"),IF(Q119="FAIL","FAILING","COVERED"))))</f>
        <v/>
      </c>
      <c r="Y119" s="16" t="inlineStr"/>
      <c r="Z119" s="16" t="inlineStr"/>
      <c r="AA119" s="16" t="inlineStr"/>
      <c r="AB119" s="16" t="inlineStr">
        <is>
          <t>1.0.0</t>
        </is>
      </c>
      <c r="AC119" s="16" t="inlineStr">
        <is>
          <t>ZUBoard 1CG / Basys 3</t>
        </is>
      </c>
      <c r="AD119" s="16" t="inlineStr">
        <is>
          <t>BALU-RS-001 Rev 0.4</t>
        </is>
      </c>
    </row>
    <row r="120">
      <c r="A120" s="16" t="inlineStr">
        <is>
          <t>UART-REG-044</t>
        </is>
      </c>
      <c r="B120" s="16" t="inlineStr">
        <is>
          <t>REG</t>
        </is>
      </c>
      <c r="C120" s="16" t="inlineStr">
        <is>
          <t>structural</t>
        </is>
      </c>
      <c r="D120" s="16" t="inlineStr">
        <is>
          <t>The Buffered AXI-Lite UART shall implement SCRATCH[31:0] as a read-write register with no hardware function.</t>
        </is>
      </c>
      <c r="E120" s="16" t="inlineStr">
        <is>
          <t>BALU-RS-001</t>
        </is>
      </c>
      <c r="F120" s="16" t="inlineStr">
        <is>
          <t>§8.11</t>
        </is>
      </c>
      <c r="G120" s="16" t="inlineStr">
        <is>
          <t>test</t>
        </is>
      </c>
      <c r="H120" s="16" t="inlineStr">
        <is>
          <t>COV-014</t>
        </is>
      </c>
      <c r="I120" s="16" t="inlineStr">
        <is>
          <t>Write walking-ones (0x00000001 through 0x80000000), all-ones (0xFFFFFFFF), and all-zeros (0x00000000) to SCRATCH; read back and verify each value.</t>
        </is>
      </c>
      <c r="J120" s="16" t="inlineStr"/>
      <c r="K120" s="16" t="inlineStr">
        <is>
          <t>GENERATED</t>
        </is>
      </c>
      <c r="L120" s="16" t="inlineStr"/>
      <c r="M120" s="16" t="inlineStr"/>
      <c r="N120" s="16" t="inlineStr"/>
      <c r="O120" s="16" t="inlineStr">
        <is>
          <t>vhdl/buffered_axi_lite_uart.vhd</t>
        </is>
      </c>
      <c r="P120" s="16" t="inlineStr">
        <is>
          <t>RTL</t>
        </is>
      </c>
      <c r="Q120" s="16" t="inlineStr">
        <is>
          <t>NOT_RUN</t>
        </is>
      </c>
      <c r="R120" s="16" t="inlineStr"/>
      <c r="S120" s="16" t="inlineStr"/>
      <c r="T120" s="16" t="inlineStr"/>
      <c r="U120" s="16" t="inlineStr">
        <is>
          <t>NOT_RUN</t>
        </is>
      </c>
      <c r="V120" s="16" t="inlineStr"/>
      <c r="W120" s="16" t="inlineStr"/>
      <c r="X120" s="17">
        <f>IF(K120="WAIVED","WAIVED",IF(H120="","OPEN",IF(Q120="PASS",IF(Y120&lt;&gt;"","CLOSED","PASSING"),IF(Q120="FAIL","FAILING","COVERED"))))</f>
        <v/>
      </c>
      <c r="Y120" s="16" t="inlineStr"/>
      <c r="Z120" s="16" t="inlineStr"/>
      <c r="AA120" s="16" t="inlineStr"/>
      <c r="AB120" s="16" t="inlineStr">
        <is>
          <t>1.0.0</t>
        </is>
      </c>
      <c r="AC120" s="16" t="inlineStr">
        <is>
          <t>ZUBoard 1CG / Basys 3</t>
        </is>
      </c>
      <c r="AD120" s="16" t="inlineStr">
        <is>
          <t>BALU-RS-001 Rev 0.4</t>
        </is>
      </c>
    </row>
    <row r="121">
      <c r="A121" s="16" t="inlineStr">
        <is>
          <t>UART-REG-045</t>
        </is>
      </c>
      <c r="B121" s="16" t="inlineStr">
        <is>
          <t>REG</t>
        </is>
      </c>
      <c r="C121" s="16" t="inlineStr">
        <is>
          <t>structural</t>
        </is>
      </c>
      <c r="D121" s="16" t="inlineStr">
        <is>
          <t>The Buffered AXI-Lite UART shall retain any written 32-bit value in SCRATCH and return it unchanged on all subsequent reads until overwritten.</t>
        </is>
      </c>
      <c r="E121" s="16" t="inlineStr">
        <is>
          <t>BALU-RS-001</t>
        </is>
      </c>
      <c r="F121" s="16" t="inlineStr">
        <is>
          <t>§8.11</t>
        </is>
      </c>
      <c r="G121" s="16" t="inlineStr">
        <is>
          <t>test</t>
        </is>
      </c>
      <c r="H121" s="16" t="inlineStr">
        <is>
          <t>COV-014</t>
        </is>
      </c>
      <c r="I121" s="16" t="inlineStr">
        <is>
          <t>Write walking-ones (0x00000001 through 0x80000000), all-ones (0xFFFFFFFF), and all-zeros (0x00000000) to SCRATCH; read back and verify each value.</t>
        </is>
      </c>
      <c r="J121" s="16" t="inlineStr"/>
      <c r="K121" s="16" t="inlineStr">
        <is>
          <t>GENERATED</t>
        </is>
      </c>
      <c r="L121" s="16" t="inlineStr"/>
      <c r="M121" s="16" t="inlineStr"/>
      <c r="N121" s="16" t="inlineStr"/>
      <c r="O121" s="16" t="inlineStr">
        <is>
          <t>vhdl/buffered_axi_lite_uart.vhd</t>
        </is>
      </c>
      <c r="P121" s="16" t="inlineStr">
        <is>
          <t>RTL</t>
        </is>
      </c>
      <c r="Q121" s="16" t="inlineStr">
        <is>
          <t>NOT_RUN</t>
        </is>
      </c>
      <c r="R121" s="16" t="inlineStr"/>
      <c r="S121" s="16" t="inlineStr"/>
      <c r="T121" s="16" t="inlineStr"/>
      <c r="U121" s="16" t="inlineStr">
        <is>
          <t>NOT_RUN</t>
        </is>
      </c>
      <c r="V121" s="16" t="inlineStr"/>
      <c r="W121" s="16" t="inlineStr"/>
      <c r="X121" s="17">
        <f>IF(K121="WAIVED","WAIVED",IF(H121="","OPEN",IF(Q121="PASS",IF(Y121&lt;&gt;"","CLOSED","PASSING"),IF(Q121="FAIL","FAILING","COVERED"))))</f>
        <v/>
      </c>
      <c r="Y121" s="16" t="inlineStr"/>
      <c r="Z121" s="16" t="inlineStr"/>
      <c r="AA121" s="16" t="inlineStr"/>
      <c r="AB121" s="16" t="inlineStr">
        <is>
          <t>1.0.0</t>
        </is>
      </c>
      <c r="AC121" s="16" t="inlineStr">
        <is>
          <t>ZUBoard 1CG / Basys 3</t>
        </is>
      </c>
      <c r="AD121" s="16" t="inlineStr">
        <is>
          <t>BALU-RS-001 Rev 0.4</t>
        </is>
      </c>
    </row>
    <row r="122">
      <c r="A122" s="16" t="inlineStr">
        <is>
          <t>UART-REG-046</t>
        </is>
      </c>
      <c r="B122" s="16" t="inlineStr">
        <is>
          <t>REG</t>
        </is>
      </c>
      <c r="C122" s="16" t="inlineStr">
        <is>
          <t>structural</t>
        </is>
      </c>
      <c r="D122" s="16" t="inlineStr">
        <is>
          <t>The Buffered AXI-Lite UART shall reset SCRATCH to 0x00000000.</t>
        </is>
      </c>
      <c r="E122" s="16" t="inlineStr">
        <is>
          <t>BALU-RS-001</t>
        </is>
      </c>
      <c r="F122" s="16" t="inlineStr">
        <is>
          <t>§8.11</t>
        </is>
      </c>
      <c r="G122" s="16" t="inlineStr">
        <is>
          <t>test</t>
        </is>
      </c>
      <c r="H122" s="16" t="inlineStr">
        <is>
          <t>COV-014</t>
        </is>
      </c>
      <c r="I122" s="16" t="inlineStr">
        <is>
          <t>Write walking-ones (0x00000001 through 0x80000000), all-ones (0xFFFFFFFF), and all-zeros (0x00000000) to SCRATCH; read back and verify each value.</t>
        </is>
      </c>
      <c r="J122" s="16" t="inlineStr"/>
      <c r="K122" s="16" t="inlineStr">
        <is>
          <t>GENERATED</t>
        </is>
      </c>
      <c r="L122" s="16" t="inlineStr"/>
      <c r="M122" s="16" t="inlineStr"/>
      <c r="N122" s="16" t="inlineStr"/>
      <c r="O122" s="16" t="inlineStr">
        <is>
          <t>vhdl/buffered_axi_lite_uart.vhd</t>
        </is>
      </c>
      <c r="P122" s="16" t="inlineStr">
        <is>
          <t>RTL</t>
        </is>
      </c>
      <c r="Q122" s="16" t="inlineStr">
        <is>
          <t>NOT_RUN</t>
        </is>
      </c>
      <c r="R122" s="16" t="inlineStr"/>
      <c r="S122" s="16" t="inlineStr"/>
      <c r="T122" s="16" t="inlineStr"/>
      <c r="U122" s="16" t="inlineStr">
        <is>
          <t>NOT_RUN</t>
        </is>
      </c>
      <c r="V122" s="16" t="inlineStr"/>
      <c r="W122" s="16" t="inlineStr"/>
      <c r="X122" s="17">
        <f>IF(K122="WAIVED","WAIVED",IF(H122="","OPEN",IF(Q122="PASS",IF(Y122&lt;&gt;"","CLOSED","PASSING"),IF(Q122="FAIL","FAILING","COVERED"))))</f>
        <v/>
      </c>
      <c r="Y122" s="16" t="inlineStr"/>
      <c r="Z122" s="16" t="inlineStr"/>
      <c r="AA122" s="16" t="inlineStr"/>
      <c r="AB122" s="16" t="inlineStr">
        <is>
          <t>1.0.0</t>
        </is>
      </c>
      <c r="AC122" s="16" t="inlineStr">
        <is>
          <t>ZUBoard 1CG / Basys 3</t>
        </is>
      </c>
      <c r="AD122" s="16" t="inlineStr">
        <is>
          <t>BALU-RS-001 Rev 0.4</t>
        </is>
      </c>
    </row>
    <row r="123">
      <c r="A123" s="16" t="inlineStr">
        <is>
          <t>UART-REG-047</t>
        </is>
      </c>
      <c r="B123" s="16" t="inlineStr">
        <is>
          <t>REG</t>
        </is>
      </c>
      <c r="C123" s="16" t="inlineStr">
        <is>
          <t>structural</t>
        </is>
      </c>
      <c r="D123" s="16" t="inlineStr">
        <is>
          <t>The Buffered AXI-Lite UART shall enqueue a transmitted data byte in the TX FIFO when TX_DATA[7:0] is written.</t>
        </is>
      </c>
      <c r="E123" s="16" t="inlineStr">
        <is>
          <t>BALU-RS-001</t>
        </is>
      </c>
      <c r="F123" s="16" t="inlineStr">
        <is>
          <t>§8.12</t>
        </is>
      </c>
      <c r="G123" s="16" t="inlineStr">
        <is>
          <t>test</t>
        </is>
      </c>
      <c r="H123" s="16" t="inlineStr">
        <is>
          <t>COV-019</t>
        </is>
      </c>
      <c r="I123" s="16" t="inlineStr">
        <is>
          <t>Drive TX_THRESH and RX_THRESH interrupt conditions, inject FRAME_ERR via stop-bit corruption, enable TIMEOUT interrupt; verify each INT_STATUS bit controlled by INT_ENABLE gate.</t>
        </is>
      </c>
      <c r="J123" s="16" t="inlineStr"/>
      <c r="K123" s="16" t="inlineStr">
        <is>
          <t>GENERATED</t>
        </is>
      </c>
      <c r="L123" s="16" t="inlineStr"/>
      <c r="M123" s="16" t="inlineStr"/>
      <c r="N123" s="16" t="inlineStr"/>
      <c r="O123" s="16" t="inlineStr">
        <is>
          <t>vhdl/buffered_axi_lite_uart.vhd</t>
        </is>
      </c>
      <c r="P123" s="16" t="inlineStr">
        <is>
          <t>RTL</t>
        </is>
      </c>
      <c r="Q123" s="16" t="inlineStr">
        <is>
          <t>NOT_RUN</t>
        </is>
      </c>
      <c r="R123" s="16" t="inlineStr"/>
      <c r="S123" s="16" t="inlineStr"/>
      <c r="T123" s="16" t="inlineStr"/>
      <c r="U123" s="16" t="inlineStr">
        <is>
          <t>NOT_RUN</t>
        </is>
      </c>
      <c r="V123" s="16" t="inlineStr"/>
      <c r="W123" s="16" t="inlineStr"/>
      <c r="X123" s="17">
        <f>IF(K123="WAIVED","WAIVED",IF(H123="","OPEN",IF(Q123="PASS",IF(Y123&lt;&gt;"","CLOSED","PASSING"),IF(Q123="FAIL","FAILING","COVERED"))))</f>
        <v/>
      </c>
      <c r="Y123" s="16" t="inlineStr"/>
      <c r="Z123" s="16" t="inlineStr"/>
      <c r="AA123" s="16" t="inlineStr"/>
      <c r="AB123" s="16" t="inlineStr">
        <is>
          <t>1.0.0</t>
        </is>
      </c>
      <c r="AC123" s="16" t="inlineStr">
        <is>
          <t>ZUBoard 1CG / Basys 3</t>
        </is>
      </c>
      <c r="AD123" s="16" t="inlineStr">
        <is>
          <t>BALU-RS-001 Rev 0.4</t>
        </is>
      </c>
    </row>
    <row r="124">
      <c r="A124" s="16" t="inlineStr">
        <is>
          <t>UART-REG-048</t>
        </is>
      </c>
      <c r="B124" s="16" t="inlineStr">
        <is>
          <t>REG</t>
        </is>
      </c>
      <c r="C124" s="16" t="inlineStr">
        <is>
          <t>structural</t>
        </is>
      </c>
      <c r="D124" s="16" t="inlineStr">
        <is>
          <t>The Buffered AXI-Lite UART shall silently ignore a write to TX_DATA while TX_FULL is asserted per UART-FIFO-006.</t>
        </is>
      </c>
      <c r="E124" s="16" t="inlineStr">
        <is>
          <t>BALU-RS-001</t>
        </is>
      </c>
      <c r="F124" s="16" t="inlineStr">
        <is>
          <t>§8.12</t>
        </is>
      </c>
      <c r="G124" s="16" t="inlineStr">
        <is>
          <t>test</t>
        </is>
      </c>
      <c r="H124" s="16" t="inlineStr">
        <is>
          <t>COV-019</t>
        </is>
      </c>
      <c r="I124" s="16" t="inlineStr">
        <is>
          <t>Drive TX_THRESH and RX_THRESH interrupt conditions, inject FRAME_ERR via stop-bit corruption, enable TIMEOUT interrupt; verify each INT_STATUS bit controlled by INT_ENABLE gate.</t>
        </is>
      </c>
      <c r="J124" s="16" t="inlineStr"/>
      <c r="K124" s="16" t="inlineStr">
        <is>
          <t>GENERATED</t>
        </is>
      </c>
      <c r="L124" s="16" t="inlineStr"/>
      <c r="M124" s="16" t="inlineStr"/>
      <c r="N124" s="16" t="inlineStr"/>
      <c r="O124" s="16" t="inlineStr">
        <is>
          <t>vhdl/buffered_axi_lite_uart.vhd</t>
        </is>
      </c>
      <c r="P124" s="16" t="inlineStr">
        <is>
          <t>RTL</t>
        </is>
      </c>
      <c r="Q124" s="16" t="inlineStr">
        <is>
          <t>NOT_RUN</t>
        </is>
      </c>
      <c r="R124" s="16" t="inlineStr"/>
      <c r="S124" s="16" t="inlineStr"/>
      <c r="T124" s="16" t="inlineStr"/>
      <c r="U124" s="16" t="inlineStr">
        <is>
          <t>NOT_RUN</t>
        </is>
      </c>
      <c r="V124" s="16" t="inlineStr"/>
      <c r="W124" s="16" t="inlineStr"/>
      <c r="X124" s="17">
        <f>IF(K124="WAIVED","WAIVED",IF(H124="","OPEN",IF(Q124="PASS",IF(Y124&lt;&gt;"","CLOSED","PASSING"),IF(Q124="FAIL","FAILING","COVERED"))))</f>
        <v/>
      </c>
      <c r="Y124" s="16" t="inlineStr"/>
      <c r="Z124" s="16" t="inlineStr"/>
      <c r="AA124" s="16" t="inlineStr"/>
      <c r="AB124" s="16" t="inlineStr">
        <is>
          <t>1.0.0</t>
        </is>
      </c>
      <c r="AC124" s="16" t="inlineStr">
        <is>
          <t>ZUBoard 1CG / Basys 3</t>
        </is>
      </c>
      <c r="AD124" s="16" t="inlineStr">
        <is>
          <t>BALU-RS-001 Rev 0.4</t>
        </is>
      </c>
    </row>
    <row r="125">
      <c r="A125" s="16" t="inlineStr">
        <is>
          <t>UART-REG-049</t>
        </is>
      </c>
      <c r="B125" s="16" t="inlineStr">
        <is>
          <t>REG</t>
        </is>
      </c>
      <c r="C125" s="16" t="inlineStr">
        <is>
          <t>structural</t>
        </is>
      </c>
      <c r="D125" s="16" t="inlineStr">
        <is>
          <t>The Buffered AXI-Lite UART shall implement TX_DATA as a write-only register, returning 0x00000000 on reads.</t>
        </is>
      </c>
      <c r="E125" s="16" t="inlineStr">
        <is>
          <t>BALU-RS-001</t>
        </is>
      </c>
      <c r="F125" s="16" t="inlineStr">
        <is>
          <t>§8.12</t>
        </is>
      </c>
      <c r="G125" s="16" t="inlineStr">
        <is>
          <t>test</t>
        </is>
      </c>
      <c r="H125" s="16" t="inlineStr">
        <is>
          <t>COV-018</t>
        </is>
      </c>
      <c r="I125" s="16" t="inlineStr">
        <is>
          <t>Write to each read-only register (STATUS, FIFO_STATUS, INT_STATUS, INT_CLEAR, TX_DATA reads, RX_DATA writes); read back and verify state unchanged.</t>
        </is>
      </c>
      <c r="J125" s="16" t="inlineStr"/>
      <c r="K125" s="16" t="inlineStr">
        <is>
          <t>GENERATED</t>
        </is>
      </c>
      <c r="L125" s="16" t="inlineStr"/>
      <c r="M125" s="16" t="inlineStr"/>
      <c r="N125" s="16" t="inlineStr"/>
      <c r="O125" s="16" t="inlineStr">
        <is>
          <t>vhdl/buffered_axi_lite_uart.vhd</t>
        </is>
      </c>
      <c r="P125" s="16" t="inlineStr">
        <is>
          <t>RTL</t>
        </is>
      </c>
      <c r="Q125" s="16" t="inlineStr">
        <is>
          <t>NOT_RUN</t>
        </is>
      </c>
      <c r="R125" s="16" t="inlineStr"/>
      <c r="S125" s="16" t="inlineStr"/>
      <c r="T125" s="16" t="inlineStr"/>
      <c r="U125" s="16" t="inlineStr">
        <is>
          <t>NOT_RUN</t>
        </is>
      </c>
      <c r="V125" s="16" t="inlineStr"/>
      <c r="W125" s="16" t="inlineStr"/>
      <c r="X125" s="17">
        <f>IF(K125="WAIVED","WAIVED",IF(H125="","OPEN",IF(Q125="PASS",IF(Y125&lt;&gt;"","CLOSED","PASSING"),IF(Q125="FAIL","FAILING","COVERED"))))</f>
        <v/>
      </c>
      <c r="Y125" s="16" t="inlineStr"/>
      <c r="Z125" s="16" t="inlineStr"/>
      <c r="AA125" s="16" t="inlineStr"/>
      <c r="AB125" s="16" t="inlineStr">
        <is>
          <t>1.0.0</t>
        </is>
      </c>
      <c r="AC125" s="16" t="inlineStr">
        <is>
          <t>ZUBoard 1CG / Basys 3</t>
        </is>
      </c>
      <c r="AD125" s="16" t="inlineStr">
        <is>
          <t>BALU-RS-001 Rev 0.4</t>
        </is>
      </c>
    </row>
    <row r="126">
      <c r="A126" s="16" t="inlineStr">
        <is>
          <t>UART-REG-050</t>
        </is>
      </c>
      <c r="B126" s="16" t="inlineStr">
        <is>
          <t>REG</t>
        </is>
      </c>
      <c r="C126" s="16" t="inlineStr">
        <is>
          <t>structural</t>
        </is>
      </c>
      <c r="D126" s="16" t="inlineStr">
        <is>
          <t>The Buffered AXI-Lite UART shall return the oldest byte in the RX FIFO and dequeue it when RX_DATA is read.</t>
        </is>
      </c>
      <c r="E126" s="16" t="inlineStr">
        <is>
          <t>BALU-RS-001</t>
        </is>
      </c>
      <c r="F126" s="16" t="inlineStr">
        <is>
          <t>§8.13</t>
        </is>
      </c>
      <c r="G126" s="16" t="inlineStr">
        <is>
          <t>test</t>
        </is>
      </c>
      <c r="H126" s="16" t="inlineStr">
        <is>
          <t>COV-019</t>
        </is>
      </c>
      <c r="I126" s="16" t="inlineStr">
        <is>
          <t>Drive TX_THRESH and RX_THRESH interrupt conditions, inject FRAME_ERR via stop-bit corruption, enable TIMEOUT interrupt; verify each INT_STATUS bit controlled by INT_ENABLE gate.</t>
        </is>
      </c>
      <c r="J126" s="16" t="inlineStr"/>
      <c r="K126" s="16" t="inlineStr">
        <is>
          <t>GENERATED</t>
        </is>
      </c>
      <c r="L126" s="16" t="inlineStr"/>
      <c r="M126" s="16" t="inlineStr"/>
      <c r="N126" s="16" t="inlineStr"/>
      <c r="O126" s="16" t="inlineStr">
        <is>
          <t>vhdl/buffered_axi_lite_uart.vhd</t>
        </is>
      </c>
      <c r="P126" s="16" t="inlineStr">
        <is>
          <t>RTL</t>
        </is>
      </c>
      <c r="Q126" s="16" t="inlineStr">
        <is>
          <t>NOT_RUN</t>
        </is>
      </c>
      <c r="R126" s="16" t="inlineStr"/>
      <c r="S126" s="16" t="inlineStr"/>
      <c r="T126" s="16" t="inlineStr"/>
      <c r="U126" s="16" t="inlineStr">
        <is>
          <t>NOT_RUN</t>
        </is>
      </c>
      <c r="V126" s="16" t="inlineStr"/>
      <c r="W126" s="16" t="inlineStr"/>
      <c r="X126" s="17">
        <f>IF(K126="WAIVED","WAIVED",IF(H126="","OPEN",IF(Q126="PASS",IF(Y126&lt;&gt;"","CLOSED","PASSING"),IF(Q126="FAIL","FAILING","COVERED"))))</f>
        <v/>
      </c>
      <c r="Y126" s="16" t="inlineStr"/>
      <c r="Z126" s="16" t="inlineStr"/>
      <c r="AA126" s="16" t="inlineStr"/>
      <c r="AB126" s="16" t="inlineStr">
        <is>
          <t>1.0.0</t>
        </is>
      </c>
      <c r="AC126" s="16" t="inlineStr">
        <is>
          <t>ZUBoard 1CG / Basys 3</t>
        </is>
      </c>
      <c r="AD126" s="16" t="inlineStr">
        <is>
          <t>BALU-RS-001 Rev 0.4</t>
        </is>
      </c>
    </row>
    <row r="127">
      <c r="A127" s="16" t="inlineStr">
        <is>
          <t>UART-REG-051</t>
        </is>
      </c>
      <c r="B127" s="16" t="inlineStr">
        <is>
          <t>REG</t>
        </is>
      </c>
      <c r="C127" s="16" t="inlineStr">
        <is>
          <t>structural</t>
        </is>
      </c>
      <c r="D127" s="16" t="inlineStr">
        <is>
          <t>The Buffered AXI-Lite UART shall treat the value returned by RX_DATA as undefined when RX_EMPTY is asserted. Software shall verify RX_EMPTY is deasserted before reading RX_DATA.</t>
        </is>
      </c>
      <c r="E127" s="16" t="inlineStr">
        <is>
          <t>BALU-RS-001</t>
        </is>
      </c>
      <c r="F127" s="16" t="inlineStr">
        <is>
          <t>§8.13</t>
        </is>
      </c>
      <c r="G127" s="16" t="inlineStr">
        <is>
          <t>test</t>
        </is>
      </c>
      <c r="H127" s="16" t="inlineStr">
        <is>
          <t>COV-019</t>
        </is>
      </c>
      <c r="I127" s="16" t="inlineStr">
        <is>
          <t>Drive TX_THRESH and RX_THRESH interrupt conditions, inject FRAME_ERR via stop-bit corruption, enable TIMEOUT interrupt; verify each INT_STATUS bit controlled by INT_ENABLE gate.</t>
        </is>
      </c>
      <c r="J127" s="16" t="inlineStr"/>
      <c r="K127" s="16" t="inlineStr">
        <is>
          <t>GENERATED</t>
        </is>
      </c>
      <c r="L127" s="16" t="inlineStr"/>
      <c r="M127" s="16" t="inlineStr"/>
      <c r="N127" s="16" t="inlineStr"/>
      <c r="O127" s="16" t="inlineStr">
        <is>
          <t>vhdl/buffered_axi_lite_uart.vhd</t>
        </is>
      </c>
      <c r="P127" s="16" t="inlineStr">
        <is>
          <t>RTL</t>
        </is>
      </c>
      <c r="Q127" s="16" t="inlineStr">
        <is>
          <t>NOT_RUN</t>
        </is>
      </c>
      <c r="R127" s="16" t="inlineStr"/>
      <c r="S127" s="16" t="inlineStr"/>
      <c r="T127" s="16" t="inlineStr"/>
      <c r="U127" s="16" t="inlineStr">
        <is>
          <t>NOT_RUN</t>
        </is>
      </c>
      <c r="V127" s="16" t="inlineStr"/>
      <c r="W127" s="16" t="inlineStr"/>
      <c r="X127" s="17">
        <f>IF(K127="WAIVED","WAIVED",IF(H127="","OPEN",IF(Q127="PASS",IF(Y127&lt;&gt;"","CLOSED","PASSING"),IF(Q127="FAIL","FAILING","COVERED"))))</f>
        <v/>
      </c>
      <c r="Y127" s="16" t="inlineStr"/>
      <c r="Z127" s="16" t="inlineStr"/>
      <c r="AA127" s="16" t="inlineStr"/>
      <c r="AB127" s="16" t="inlineStr">
        <is>
          <t>1.0.0</t>
        </is>
      </c>
      <c r="AC127" s="16" t="inlineStr">
        <is>
          <t>ZUBoard 1CG / Basys 3</t>
        </is>
      </c>
      <c r="AD127" s="16" t="inlineStr">
        <is>
          <t>BALU-RS-001 Rev 0.4</t>
        </is>
      </c>
    </row>
    <row r="128">
      <c r="A128" s="16" t="inlineStr">
        <is>
          <t>UART-REG-052</t>
        </is>
      </c>
      <c r="B128" s="16" t="inlineStr">
        <is>
          <t>REG</t>
        </is>
      </c>
      <c r="C128" s="16" t="inlineStr">
        <is>
          <t>structural</t>
        </is>
      </c>
      <c r="D128" s="16" t="inlineStr">
        <is>
          <t>The Buffered AXI-Lite UART shall implement RX_DATA as a read-only register, silently ignoring writes.</t>
        </is>
      </c>
      <c r="E128" s="16" t="inlineStr">
        <is>
          <t>BALU-RS-001</t>
        </is>
      </c>
      <c r="F128" s="16" t="inlineStr">
        <is>
          <t>§8.13</t>
        </is>
      </c>
      <c r="G128" s="16" t="inlineStr">
        <is>
          <t>test</t>
        </is>
      </c>
      <c r="H128" s="16" t="inlineStr">
        <is>
          <t>COV-018</t>
        </is>
      </c>
      <c r="I128" s="16" t="inlineStr">
        <is>
          <t>Write to each read-only register (STATUS, FIFO_STATUS, INT_STATUS, INT_CLEAR, TX_DATA reads, RX_DATA writes); read back and verify state unchanged.</t>
        </is>
      </c>
      <c r="J128" s="16" t="inlineStr"/>
      <c r="K128" s="16" t="inlineStr">
        <is>
          <t>GENERATED</t>
        </is>
      </c>
      <c r="L128" s="16" t="inlineStr"/>
      <c r="M128" s="16" t="inlineStr"/>
      <c r="N128" s="16" t="inlineStr"/>
      <c r="O128" s="16" t="inlineStr">
        <is>
          <t>vhdl/buffered_axi_lite_uart.vhd</t>
        </is>
      </c>
      <c r="P128" s="16" t="inlineStr">
        <is>
          <t>RTL</t>
        </is>
      </c>
      <c r="Q128" s="16" t="inlineStr">
        <is>
          <t>NOT_RUN</t>
        </is>
      </c>
      <c r="R128" s="16" t="inlineStr"/>
      <c r="S128" s="16" t="inlineStr"/>
      <c r="T128" s="16" t="inlineStr"/>
      <c r="U128" s="16" t="inlineStr">
        <is>
          <t>NOT_RUN</t>
        </is>
      </c>
      <c r="V128" s="16" t="inlineStr"/>
      <c r="W128" s="16" t="inlineStr"/>
      <c r="X128" s="17">
        <f>IF(K128="WAIVED","WAIVED",IF(H128="","OPEN",IF(Q128="PASS",IF(Y128&lt;&gt;"","CLOSED","PASSING"),IF(Q128="FAIL","FAILING","COVERED"))))</f>
        <v/>
      </c>
      <c r="Y128" s="16" t="inlineStr"/>
      <c r="Z128" s="16" t="inlineStr"/>
      <c r="AA128" s="16" t="inlineStr"/>
      <c r="AB128" s="16" t="inlineStr">
        <is>
          <t>1.0.0</t>
        </is>
      </c>
      <c r="AC128" s="16" t="inlineStr">
        <is>
          <t>ZUBoard 1CG / Basys 3</t>
        </is>
      </c>
      <c r="AD128" s="16" t="inlineStr">
        <is>
          <t>BALU-RS-001 Rev 0.4</t>
        </is>
      </c>
    </row>
    <row r="129">
      <c r="A129" s="16" t="inlineStr">
        <is>
          <t>UART-RST-001</t>
        </is>
      </c>
      <c r="B129" s="16" t="inlineStr">
        <is>
          <t>RST</t>
        </is>
      </c>
      <c r="C129" s="16" t="inlineStr">
        <is>
          <t>functional</t>
        </is>
      </c>
      <c r="D129" s="16" t="inlineStr">
        <is>
          <t>The Buffered AXI-Lite UART shall implement a synchronous active-high reset input.</t>
        </is>
      </c>
      <c r="E129" s="16" t="inlineStr">
        <is>
          <t>BALU-RS-001</t>
        </is>
      </c>
      <c r="F129" s="16" t="inlineStr">
        <is>
          <t>§9</t>
        </is>
      </c>
      <c r="G129" s="16" t="inlineStr">
        <is>
          <t>inspection</t>
        </is>
      </c>
      <c r="H129" s="16" t="inlineStr">
        <is>
          <t>COV-015</t>
        </is>
      </c>
      <c r="I129" s="16" t="inlineStr">
        <is>
          <t>Assert then deassert reset; read all 12 registers and compare each field to the reset value specified in Table 8-x.</t>
        </is>
      </c>
      <c r="J129" s="16" t="inlineStr"/>
      <c r="K129" s="16" t="inlineStr">
        <is>
          <t>GENERATED</t>
        </is>
      </c>
      <c r="L129" s="16" t="inlineStr"/>
      <c r="M129" s="16" t="inlineStr"/>
      <c r="N129" s="16" t="inlineStr"/>
      <c r="O129" s="16" t="inlineStr">
        <is>
          <t>vhdl/buffered_axi_lite_uart.vhd</t>
        </is>
      </c>
      <c r="P129" s="16" t="inlineStr">
        <is>
          <t>RTL</t>
        </is>
      </c>
      <c r="Q129" s="16" t="inlineStr">
        <is>
          <t>NOT_RUN</t>
        </is>
      </c>
      <c r="R129" s="16" t="inlineStr"/>
      <c r="S129" s="16" t="inlineStr"/>
      <c r="T129" s="16" t="inlineStr"/>
      <c r="U129" s="16" t="inlineStr">
        <is>
          <t>NOT_RUN</t>
        </is>
      </c>
      <c r="V129" s="16" t="inlineStr"/>
      <c r="W129" s="16" t="inlineStr"/>
      <c r="X129" s="17">
        <f>IF(K129="WAIVED","WAIVED",IF(H129="","OPEN",IF(Q129="PASS",IF(Y129&lt;&gt;"","CLOSED","PASSING"),IF(Q129="FAIL","FAILING","COVERED"))))</f>
        <v/>
      </c>
      <c r="Y129" s="16" t="inlineStr"/>
      <c r="Z129" s="16" t="inlineStr"/>
      <c r="AA129" s="16" t="inlineStr"/>
      <c r="AB129" s="16" t="inlineStr">
        <is>
          <t>1.0.0</t>
        </is>
      </c>
      <c r="AC129" s="16" t="inlineStr">
        <is>
          <t>ZUBoard 1CG / Basys 3</t>
        </is>
      </c>
      <c r="AD129" s="16" t="inlineStr">
        <is>
          <t>BALU-RS-001 Rev 0.4</t>
        </is>
      </c>
    </row>
    <row r="130">
      <c r="A130" s="16" t="inlineStr">
        <is>
          <t>UART-RST-002</t>
        </is>
      </c>
      <c r="B130" s="16" t="inlineStr">
        <is>
          <t>RST</t>
        </is>
      </c>
      <c r="C130" s="16" t="inlineStr">
        <is>
          <t>functional</t>
        </is>
      </c>
      <c r="D130" s="16" t="inlineStr">
        <is>
          <t>The Buffered AXI-Lite UART shall return all registers to their defined reset values on assertion of reset as specified in Section 8.</t>
        </is>
      </c>
      <c r="E130" s="16" t="inlineStr">
        <is>
          <t>BALU-RS-001</t>
        </is>
      </c>
      <c r="F130" s="16" t="inlineStr">
        <is>
          <t>§9</t>
        </is>
      </c>
      <c r="G130" s="16" t="inlineStr">
        <is>
          <t>test</t>
        </is>
      </c>
      <c r="H130" s="16" t="inlineStr">
        <is>
          <t>COV-015</t>
        </is>
      </c>
      <c r="I130" s="16" t="inlineStr">
        <is>
          <t>Assert then deassert reset; read all 12 registers and compare each field to the reset value specified in Table 8-x.</t>
        </is>
      </c>
      <c r="J130" s="16" t="inlineStr"/>
      <c r="K130" s="16" t="inlineStr">
        <is>
          <t>GENERATED</t>
        </is>
      </c>
      <c r="L130" s="16" t="inlineStr"/>
      <c r="M130" s="16" t="inlineStr"/>
      <c r="N130" s="16" t="inlineStr"/>
      <c r="O130" s="16" t="inlineStr">
        <is>
          <t>vhdl/buffered_axi_lite_uart.vhd</t>
        </is>
      </c>
      <c r="P130" s="16" t="inlineStr">
        <is>
          <t>RTL</t>
        </is>
      </c>
      <c r="Q130" s="16" t="inlineStr">
        <is>
          <t>NOT_RUN</t>
        </is>
      </c>
      <c r="R130" s="16" t="inlineStr"/>
      <c r="S130" s="16" t="inlineStr"/>
      <c r="T130" s="16" t="inlineStr"/>
      <c r="U130" s="16" t="inlineStr">
        <is>
          <t>NOT_RUN</t>
        </is>
      </c>
      <c r="V130" s="16" t="inlineStr"/>
      <c r="W130" s="16" t="inlineStr"/>
      <c r="X130" s="17">
        <f>IF(K130="WAIVED","WAIVED",IF(H130="","OPEN",IF(Q130="PASS",IF(Y130&lt;&gt;"","CLOSED","PASSING"),IF(Q130="FAIL","FAILING","COVERED"))))</f>
        <v/>
      </c>
      <c r="Y130" s="16" t="inlineStr"/>
      <c r="Z130" s="16" t="inlineStr"/>
      <c r="AA130" s="16" t="inlineStr"/>
      <c r="AB130" s="16" t="inlineStr">
        <is>
          <t>1.0.0</t>
        </is>
      </c>
      <c r="AC130" s="16" t="inlineStr">
        <is>
          <t>ZUBoard 1CG / Basys 3</t>
        </is>
      </c>
      <c r="AD130" s="16" t="inlineStr">
        <is>
          <t>BALU-RS-001 Rev 0.4</t>
        </is>
      </c>
    </row>
    <row r="131">
      <c r="A131" s="16" t="inlineStr">
        <is>
          <t>UART-RST-003</t>
        </is>
      </c>
      <c r="B131" s="16" t="inlineStr">
        <is>
          <t>RST</t>
        </is>
      </c>
      <c r="C131" s="16" t="inlineStr">
        <is>
          <t>functional</t>
        </is>
      </c>
      <c r="D131" s="16" t="inlineStr">
        <is>
          <t>The Buffered AXI-Lite UART shall clear both FIFOs to empty on assertion of reset.</t>
        </is>
      </c>
      <c r="E131" s="16" t="inlineStr">
        <is>
          <t>BALU-RS-001</t>
        </is>
      </c>
      <c r="F131" s="16" t="inlineStr">
        <is>
          <t>§9</t>
        </is>
      </c>
      <c r="G131" s="16" t="inlineStr">
        <is>
          <t>test</t>
        </is>
      </c>
      <c r="H131" s="16" t="inlineStr">
        <is>
          <t>COV-015</t>
        </is>
      </c>
      <c r="I131" s="16" t="inlineStr">
        <is>
          <t>Assert then deassert reset; read all 12 registers and compare each field to the reset value specified in Table 8-x.</t>
        </is>
      </c>
      <c r="J131" s="16" t="inlineStr"/>
      <c r="K131" s="16" t="inlineStr">
        <is>
          <t>GENERATED</t>
        </is>
      </c>
      <c r="L131" s="16" t="inlineStr"/>
      <c r="M131" s="16" t="inlineStr"/>
      <c r="N131" s="16" t="inlineStr"/>
      <c r="O131" s="16" t="inlineStr">
        <is>
          <t>vhdl/buffered_axi_lite_uart.vhd</t>
        </is>
      </c>
      <c r="P131" s="16" t="inlineStr">
        <is>
          <t>RTL</t>
        </is>
      </c>
      <c r="Q131" s="16" t="inlineStr">
        <is>
          <t>NOT_RUN</t>
        </is>
      </c>
      <c r="R131" s="16" t="inlineStr"/>
      <c r="S131" s="16" t="inlineStr"/>
      <c r="T131" s="16" t="inlineStr"/>
      <c r="U131" s="16" t="inlineStr">
        <is>
          <t>NOT_RUN</t>
        </is>
      </c>
      <c r="V131" s="16" t="inlineStr"/>
      <c r="W131" s="16" t="inlineStr"/>
      <c r="X131" s="17">
        <f>IF(K131="WAIVED","WAIVED",IF(H131="","OPEN",IF(Q131="PASS",IF(Y131&lt;&gt;"","CLOSED","PASSING"),IF(Q131="FAIL","FAILING","COVERED"))))</f>
        <v/>
      </c>
      <c r="Y131" s="16" t="inlineStr"/>
      <c r="Z131" s="16" t="inlineStr"/>
      <c r="AA131" s="16" t="inlineStr"/>
      <c r="AB131" s="16" t="inlineStr">
        <is>
          <t>1.0.0</t>
        </is>
      </c>
      <c r="AC131" s="16" t="inlineStr">
        <is>
          <t>ZUBoard 1CG / Basys 3</t>
        </is>
      </c>
      <c r="AD131" s="16" t="inlineStr">
        <is>
          <t>BALU-RS-001 Rev 0.4</t>
        </is>
      </c>
    </row>
    <row r="132">
      <c r="A132" s="16" t="inlineStr">
        <is>
          <t>UART-RST-004</t>
        </is>
      </c>
      <c r="B132" s="16" t="inlineStr">
        <is>
          <t>RST</t>
        </is>
      </c>
      <c r="C132" s="16" t="inlineStr">
        <is>
          <t>functional</t>
        </is>
      </c>
      <c r="D132" s="16" t="inlineStr">
        <is>
          <t>The Buffered AXI-Lite UART shall clear the NCO accumulator to zero on assertion of reset.</t>
        </is>
      </c>
      <c r="E132" s="16" t="inlineStr">
        <is>
          <t>BALU-RS-001</t>
        </is>
      </c>
      <c r="F132" s="16" t="inlineStr">
        <is>
          <t>§9</t>
        </is>
      </c>
      <c r="G132" s="16" t="inlineStr">
        <is>
          <t>test</t>
        </is>
      </c>
      <c r="H132" s="16" t="inlineStr">
        <is>
          <t>COV-015</t>
        </is>
      </c>
      <c r="I132" s="16" t="inlineStr">
        <is>
          <t>Assert then deassert reset; read all 12 registers and compare each field to the reset value specified in Table 8-x.</t>
        </is>
      </c>
      <c r="J132" s="16" t="inlineStr"/>
      <c r="K132" s="16" t="inlineStr">
        <is>
          <t>GENERATED</t>
        </is>
      </c>
      <c r="L132" s="16" t="inlineStr"/>
      <c r="M132" s="16" t="inlineStr"/>
      <c r="N132" s="16" t="inlineStr"/>
      <c r="O132" s="16" t="inlineStr">
        <is>
          <t>vhdl/buffered_axi_lite_uart.vhd</t>
        </is>
      </c>
      <c r="P132" s="16" t="inlineStr">
        <is>
          <t>RTL</t>
        </is>
      </c>
      <c r="Q132" s="16" t="inlineStr">
        <is>
          <t>NOT_RUN</t>
        </is>
      </c>
      <c r="R132" s="16" t="inlineStr"/>
      <c r="S132" s="16" t="inlineStr"/>
      <c r="T132" s="16" t="inlineStr"/>
      <c r="U132" s="16" t="inlineStr">
        <is>
          <t>NOT_RUN</t>
        </is>
      </c>
      <c r="V132" s="16" t="inlineStr"/>
      <c r="W132" s="16" t="inlineStr"/>
      <c r="X132" s="17">
        <f>IF(K132="WAIVED","WAIVED",IF(H132="","OPEN",IF(Q132="PASS",IF(Y132&lt;&gt;"","CLOSED","PASSING"),IF(Q132="FAIL","FAILING","COVERED"))))</f>
        <v/>
      </c>
      <c r="Y132" s="16" t="inlineStr"/>
      <c r="Z132" s="16" t="inlineStr"/>
      <c r="AA132" s="16" t="inlineStr"/>
      <c r="AB132" s="16" t="inlineStr">
        <is>
          <t>1.0.0</t>
        </is>
      </c>
      <c r="AC132" s="16" t="inlineStr">
        <is>
          <t>ZUBoard 1CG / Basys 3</t>
        </is>
      </c>
      <c r="AD132" s="16" t="inlineStr">
        <is>
          <t>BALU-RS-001 Rev 0.4</t>
        </is>
      </c>
    </row>
    <row r="133">
      <c r="A133" s="16" t="inlineStr">
        <is>
          <t>UART-RST-005</t>
        </is>
      </c>
      <c r="B133" s="16" t="inlineStr">
        <is>
          <t>RST</t>
        </is>
      </c>
      <c r="C133" s="16" t="inlineStr">
        <is>
          <t>functional</t>
        </is>
      </c>
      <c r="D133" s="16" t="inlineStr">
        <is>
          <t>The Buffered AXI-Lite UART shall deassert the IRQ output on assertion of reset.</t>
        </is>
      </c>
      <c r="E133" s="16" t="inlineStr">
        <is>
          <t>BALU-RS-001</t>
        </is>
      </c>
      <c r="F133" s="16" t="inlineStr">
        <is>
          <t>§9</t>
        </is>
      </c>
      <c r="G133" s="16" t="inlineStr">
        <is>
          <t>test</t>
        </is>
      </c>
      <c r="H133" s="16" t="inlineStr">
        <is>
          <t>COV-015</t>
        </is>
      </c>
      <c r="I133" s="16" t="inlineStr">
        <is>
          <t>Assert then deassert reset; read all 12 registers and compare each field to the reset value specified in Table 8-x.</t>
        </is>
      </c>
      <c r="J133" s="16" t="inlineStr"/>
      <c r="K133" s="16" t="inlineStr">
        <is>
          <t>GENERATED</t>
        </is>
      </c>
      <c r="L133" s="16" t="inlineStr"/>
      <c r="M133" s="16" t="inlineStr"/>
      <c r="N133" s="16" t="inlineStr"/>
      <c r="O133" s="16" t="inlineStr">
        <is>
          <t>vhdl/buffered_axi_lite_uart.vhd</t>
        </is>
      </c>
      <c r="P133" s="16" t="inlineStr">
        <is>
          <t>RTL</t>
        </is>
      </c>
      <c r="Q133" s="16" t="inlineStr">
        <is>
          <t>NOT_RUN</t>
        </is>
      </c>
      <c r="R133" s="16" t="inlineStr"/>
      <c r="S133" s="16" t="inlineStr"/>
      <c r="T133" s="16" t="inlineStr"/>
      <c r="U133" s="16" t="inlineStr">
        <is>
          <t>NOT_RUN</t>
        </is>
      </c>
      <c r="V133" s="16" t="inlineStr"/>
      <c r="W133" s="16" t="inlineStr"/>
      <c r="X133" s="17">
        <f>IF(K133="WAIVED","WAIVED",IF(H133="","OPEN",IF(Q133="PASS",IF(Y133&lt;&gt;"","CLOSED","PASSING"),IF(Q133="FAIL","FAILING","COVERED"))))</f>
        <v/>
      </c>
      <c r="Y133" s="16" t="inlineStr"/>
      <c r="Z133" s="16" t="inlineStr"/>
      <c r="AA133" s="16" t="inlineStr"/>
      <c r="AB133" s="16" t="inlineStr">
        <is>
          <t>1.0.0</t>
        </is>
      </c>
      <c r="AC133" s="16" t="inlineStr">
        <is>
          <t>ZUBoard 1CG / Basys 3</t>
        </is>
      </c>
      <c r="AD133" s="16" t="inlineStr">
        <is>
          <t>BALU-RS-001 Rev 0.4</t>
        </is>
      </c>
    </row>
    <row r="134">
      <c r="A134" s="16" t="inlineStr">
        <is>
          <t>UART-RST-006</t>
        </is>
      </c>
      <c r="B134" s="16" t="inlineStr">
        <is>
          <t>RST</t>
        </is>
      </c>
      <c r="C134" s="16" t="inlineStr">
        <is>
          <t>functional</t>
        </is>
      </c>
      <c r="D134" s="16" t="inlineStr">
        <is>
          <t>The Buffered AXI-Lite UART shall reset BAUD_TUNING to C_BAUD_TUNING_RESET per UART-BR-003.</t>
        </is>
      </c>
      <c r="E134" s="16" t="inlineStr">
        <is>
          <t>BALU-RS-001</t>
        </is>
      </c>
      <c r="F134" s="16" t="inlineStr">
        <is>
          <t>§9</t>
        </is>
      </c>
      <c r="G134" s="16" t="inlineStr">
        <is>
          <t>test</t>
        </is>
      </c>
      <c r="H134" s="16" t="inlineStr">
        <is>
          <t>COV-015</t>
        </is>
      </c>
      <c r="I134" s="16" t="inlineStr">
        <is>
          <t>Assert then deassert reset; read all 12 registers and compare each field to the reset value specified in Table 8-x.</t>
        </is>
      </c>
      <c r="J134" s="16" t="inlineStr"/>
      <c r="K134" s="16" t="inlineStr">
        <is>
          <t>GENERATED</t>
        </is>
      </c>
      <c r="L134" s="16" t="inlineStr"/>
      <c r="M134" s="16" t="inlineStr"/>
      <c r="N134" s="16" t="inlineStr"/>
      <c r="O134" s="16" t="inlineStr">
        <is>
          <t>vhdl/buffered_axi_lite_uart.vhd</t>
        </is>
      </c>
      <c r="P134" s="16" t="inlineStr">
        <is>
          <t>RTL</t>
        </is>
      </c>
      <c r="Q134" s="16" t="inlineStr">
        <is>
          <t>NOT_RUN</t>
        </is>
      </c>
      <c r="R134" s="16" t="inlineStr"/>
      <c r="S134" s="16" t="inlineStr"/>
      <c r="T134" s="16" t="inlineStr"/>
      <c r="U134" s="16" t="inlineStr">
        <is>
          <t>NOT_RUN</t>
        </is>
      </c>
      <c r="V134" s="16" t="inlineStr"/>
      <c r="W134" s="16" t="inlineStr"/>
      <c r="X134" s="17">
        <f>IF(K134="WAIVED","WAIVED",IF(H134="","OPEN",IF(Q134="PASS",IF(Y134&lt;&gt;"","CLOSED","PASSING"),IF(Q134="FAIL","FAILING","COVERED"))))</f>
        <v/>
      </c>
      <c r="Y134" s="16" t="inlineStr"/>
      <c r="Z134" s="16" t="inlineStr"/>
      <c r="AA134" s="16" t="inlineStr"/>
      <c r="AB134" s="16" t="inlineStr">
        <is>
          <t>1.0.0</t>
        </is>
      </c>
      <c r="AC134" s="16" t="inlineStr">
        <is>
          <t>ZUBoard 1CG / Basys 3</t>
        </is>
      </c>
      <c r="AD134" s="16" t="inlineStr">
        <is>
          <t>BALU-RS-001 Rev 0.4</t>
        </is>
      </c>
    </row>
    <row r="135">
      <c r="A135" s="16" t="inlineStr">
        <is>
          <t>UART-VER-001</t>
        </is>
      </c>
      <c r="B135" s="16" t="inlineStr">
        <is>
          <t>VER</t>
        </is>
      </c>
      <c r="C135" s="16" t="inlineStr">
        <is>
          <t>infrastructure</t>
        </is>
      </c>
      <c r="D135" s="16" t="inlineStr">
        <is>
          <t>UVM RAL model for all 12 registers</t>
        </is>
      </c>
      <c r="E135" s="16" t="inlineStr">
        <is>
          <t>BALU-RS-001</t>
        </is>
      </c>
      <c r="F135" s="16" t="inlineStr">
        <is>
          <t>§11</t>
        </is>
      </c>
      <c r="G135" s="16" t="inlineStr">
        <is>
          <t>inspection</t>
        </is>
      </c>
      <c r="H135" s="16" t="inlineStr"/>
      <c r="I135" s="16" t="inlineStr"/>
      <c r="J135" s="16" t="inlineStr"/>
      <c r="K135" s="16" t="inlineStr">
        <is>
          <t>WAIVED</t>
        </is>
      </c>
      <c r="L135" s="16" t="inlineStr">
        <is>
          <t>Verification infrastructure requirement. Describes the UVM RAL model artifact, not a testable behavior. Closed by inspection when the RAL model is committed.</t>
        </is>
      </c>
      <c r="M135" s="16" t="inlineStr">
        <is>
          <t>LOW</t>
        </is>
      </c>
      <c r="N135" s="16" t="inlineStr"/>
      <c r="O135" s="16" t="inlineStr">
        <is>
          <t>vhdl/buffered_axi_lite_uart.vhd</t>
        </is>
      </c>
      <c r="P135" s="16" t="inlineStr">
        <is>
          <t>RTL</t>
        </is>
      </c>
      <c r="Q135" s="16" t="inlineStr">
        <is>
          <t>NOT_RUN</t>
        </is>
      </c>
      <c r="R135" s="16" t="inlineStr"/>
      <c r="S135" s="16" t="inlineStr"/>
      <c r="T135" s="16" t="inlineStr"/>
      <c r="U135" s="16" t="inlineStr">
        <is>
          <t>NOT_RUN</t>
        </is>
      </c>
      <c r="V135" s="16" t="inlineStr"/>
      <c r="W135" s="16" t="inlineStr"/>
      <c r="X135" s="17">
        <f>IF(K135="WAIVED","WAIVED",IF(H135="","OPEN",IF(Q135="PASS",IF(Y135&lt;&gt;"","CLOSED","PASSING"),IF(Q135="FAIL","FAILING","COVERED"))))</f>
        <v/>
      </c>
      <c r="Y135" s="16" t="inlineStr"/>
      <c r="Z135" s="16" t="inlineStr"/>
      <c r="AA135" s="16" t="inlineStr"/>
      <c r="AB135" s="16" t="inlineStr">
        <is>
          <t>1.0.0</t>
        </is>
      </c>
      <c r="AC135" s="16" t="inlineStr">
        <is>
          <t>ZUBoard 1CG / Basys 3</t>
        </is>
      </c>
      <c r="AD135" s="16" t="inlineStr">
        <is>
          <t>BALU-RS-001 Rev 0.4</t>
        </is>
      </c>
    </row>
    <row r="136">
      <c r="A136" s="16" t="inlineStr">
        <is>
          <t>UART-VER-002</t>
        </is>
      </c>
      <c r="B136" s="16" t="inlineStr">
        <is>
          <t>VER</t>
        </is>
      </c>
      <c r="C136" s="16" t="inlineStr">
        <is>
          <t>infrastructure</t>
        </is>
      </c>
      <c r="D136" s="16" t="inlineStr">
        <is>
          <t>Reset value test for all registers</t>
        </is>
      </c>
      <c r="E136" s="16" t="inlineStr">
        <is>
          <t>BALU-RS-001</t>
        </is>
      </c>
      <c r="F136" s="16" t="inlineStr">
        <is>
          <t>§11</t>
        </is>
      </c>
      <c r="G136" s="16" t="inlineStr">
        <is>
          <t>test</t>
        </is>
      </c>
      <c r="H136" s="16" t="inlineStr">
        <is>
          <t>COV-015</t>
        </is>
      </c>
      <c r="I136" s="16" t="inlineStr">
        <is>
          <t>Assert then deassert reset; read all 12 registers and compare each field to the reset value specified in Table 8-x.</t>
        </is>
      </c>
      <c r="J136" s="16" t="inlineStr"/>
      <c r="K136" s="16" t="inlineStr">
        <is>
          <t>GENERATED</t>
        </is>
      </c>
      <c r="L136" s="16" t="inlineStr"/>
      <c r="M136" s="16" t="inlineStr"/>
      <c r="N136" s="16" t="inlineStr"/>
      <c r="O136" s="16" t="inlineStr">
        <is>
          <t>vhdl/buffered_axi_lite_uart.vhd</t>
        </is>
      </c>
      <c r="P136" s="16" t="inlineStr">
        <is>
          <t>RTL</t>
        </is>
      </c>
      <c r="Q136" s="16" t="inlineStr">
        <is>
          <t>NOT_RUN</t>
        </is>
      </c>
      <c r="R136" s="16" t="inlineStr"/>
      <c r="S136" s="16" t="inlineStr"/>
      <c r="T136" s="16" t="inlineStr"/>
      <c r="U136" s="16" t="inlineStr">
        <is>
          <t>NOT_RUN</t>
        </is>
      </c>
      <c r="V136" s="16" t="inlineStr"/>
      <c r="W136" s="16" t="inlineStr"/>
      <c r="X136" s="17">
        <f>IF(K136="WAIVED","WAIVED",IF(H136="","OPEN",IF(Q136="PASS",IF(Y136&lt;&gt;"","CLOSED","PASSING"),IF(Q136="FAIL","FAILING","COVERED"))))</f>
        <v/>
      </c>
      <c r="Y136" s="16" t="inlineStr"/>
      <c r="Z136" s="16" t="inlineStr"/>
      <c r="AA136" s="16" t="inlineStr"/>
      <c r="AB136" s="16" t="inlineStr">
        <is>
          <t>1.0.0</t>
        </is>
      </c>
      <c r="AC136" s="16" t="inlineStr">
        <is>
          <t>ZUBoard 1CG / Basys 3</t>
        </is>
      </c>
      <c r="AD136" s="16" t="inlineStr">
        <is>
          <t>BALU-RS-001 Rev 0.4</t>
        </is>
      </c>
    </row>
    <row r="137">
      <c r="A137" s="16" t="inlineStr">
        <is>
          <t>UART-VER-003</t>
        </is>
      </c>
      <c r="B137" s="16" t="inlineStr">
        <is>
          <t>VER</t>
        </is>
      </c>
      <c r="C137" s="16" t="inlineStr">
        <is>
          <t>infrastructure</t>
        </is>
      </c>
      <c r="D137" s="16" t="inlineStr">
        <is>
          <t>SCRATCH walking-ones connectivity test</t>
        </is>
      </c>
      <c r="E137" s="16" t="inlineStr">
        <is>
          <t>BALU-RS-001</t>
        </is>
      </c>
      <c r="F137" s="16" t="inlineStr">
        <is>
          <t>§11</t>
        </is>
      </c>
      <c r="G137" s="16" t="inlineStr">
        <is>
          <t>test</t>
        </is>
      </c>
      <c r="H137" s="16" t="inlineStr">
        <is>
          <t>COV-014</t>
        </is>
      </c>
      <c r="I137" s="16" t="inlineStr">
        <is>
          <t>Write walking-ones (0x00000001 through 0x80000000), all-ones (0xFFFFFFFF), and all-zeros (0x00000000) to SCRATCH; read back and verify each value.</t>
        </is>
      </c>
      <c r="J137" s="16" t="inlineStr"/>
      <c r="K137" s="16" t="inlineStr">
        <is>
          <t>GENERATED</t>
        </is>
      </c>
      <c r="L137" s="16" t="inlineStr"/>
      <c r="M137" s="16" t="inlineStr"/>
      <c r="N137" s="16" t="inlineStr"/>
      <c r="O137" s="16" t="inlineStr">
        <is>
          <t>vhdl/buffered_axi_lite_uart.vhd</t>
        </is>
      </c>
      <c r="P137" s="16" t="inlineStr">
        <is>
          <t>RTL</t>
        </is>
      </c>
      <c r="Q137" s="16" t="inlineStr">
        <is>
          <t>NOT_RUN</t>
        </is>
      </c>
      <c r="R137" s="16" t="inlineStr"/>
      <c r="S137" s="16" t="inlineStr"/>
      <c r="T137" s="16" t="inlineStr"/>
      <c r="U137" s="16" t="inlineStr">
        <is>
          <t>NOT_RUN</t>
        </is>
      </c>
      <c r="V137" s="16" t="inlineStr"/>
      <c r="W137" s="16" t="inlineStr"/>
      <c r="X137" s="17">
        <f>IF(K137="WAIVED","WAIVED",IF(H137="","OPEN",IF(Q137="PASS",IF(Y137&lt;&gt;"","CLOSED","PASSING"),IF(Q137="FAIL","FAILING","COVERED"))))</f>
        <v/>
      </c>
      <c r="Y137" s="16" t="inlineStr"/>
      <c r="Z137" s="16" t="inlineStr"/>
      <c r="AA137" s="16" t="inlineStr"/>
      <c r="AB137" s="16" t="inlineStr">
        <is>
          <t>1.0.0</t>
        </is>
      </c>
      <c r="AC137" s="16" t="inlineStr">
        <is>
          <t>ZUBoard 1CG / Basys 3</t>
        </is>
      </c>
      <c r="AD137" s="16" t="inlineStr">
        <is>
          <t>BALU-RS-001 Rev 0.4</t>
        </is>
      </c>
    </row>
    <row r="138">
      <c r="A138" s="16" t="inlineStr">
        <is>
          <t>UART-VER-004</t>
        </is>
      </c>
      <c r="B138" s="16" t="inlineStr">
        <is>
          <t>VER</t>
        </is>
      </c>
      <c r="C138" s="16" t="inlineStr">
        <is>
          <t>infrastructure</t>
        </is>
      </c>
      <c r="D138" s="16" t="inlineStr">
        <is>
          <t>All 8 interrupt sources independently</t>
        </is>
      </c>
      <c r="E138" s="16" t="inlineStr">
        <is>
          <t>BALU-RS-001</t>
        </is>
      </c>
      <c r="F138" s="16" t="inlineStr">
        <is>
          <t>§11</t>
        </is>
      </c>
      <c r="G138" s="16" t="inlineStr">
        <is>
          <t>test</t>
        </is>
      </c>
      <c r="H138" s="16" t="inlineStr">
        <is>
          <t>COV-007</t>
        </is>
      </c>
      <c r="I138" s="16" t="inlineStr">
        <is>
          <t>Each of 8 interrupt sources set and cleared independently via directed stimulus; verify IRQ asserts and deasserts correctly for each bit.</t>
        </is>
      </c>
      <c r="J138" s="16" t="inlineStr"/>
      <c r="K138" s="16" t="inlineStr">
        <is>
          <t>GENERATED</t>
        </is>
      </c>
      <c r="L138" s="16" t="inlineStr"/>
      <c r="M138" s="16" t="inlineStr"/>
      <c r="N138" s="16" t="inlineStr"/>
      <c r="O138" s="16" t="inlineStr">
        <is>
          <t>vhdl/buffered_axi_lite_uart.vhd</t>
        </is>
      </c>
      <c r="P138" s="16" t="inlineStr">
        <is>
          <t>RTL</t>
        </is>
      </c>
      <c r="Q138" s="16" t="inlineStr">
        <is>
          <t>NOT_RUN</t>
        </is>
      </c>
      <c r="R138" s="16" t="inlineStr"/>
      <c r="S138" s="16" t="inlineStr"/>
      <c r="T138" s="16" t="inlineStr"/>
      <c r="U138" s="16" t="inlineStr">
        <is>
          <t>NOT_RUN</t>
        </is>
      </c>
      <c r="V138" s="16" t="inlineStr"/>
      <c r="W138" s="16" t="inlineStr"/>
      <c r="X138" s="17">
        <f>IF(K138="WAIVED","WAIVED",IF(H138="","OPEN",IF(Q138="PASS",IF(Y138&lt;&gt;"","CLOSED","PASSING"),IF(Q138="FAIL","FAILING","COVERED"))))</f>
        <v/>
      </c>
      <c r="Y138" s="16" t="inlineStr"/>
      <c r="Z138" s="16" t="inlineStr"/>
      <c r="AA138" s="16" t="inlineStr"/>
      <c r="AB138" s="16" t="inlineStr">
        <is>
          <t>1.0.0</t>
        </is>
      </c>
      <c r="AC138" s="16" t="inlineStr">
        <is>
          <t>ZUBoard 1CG / Basys 3</t>
        </is>
      </c>
      <c r="AD138" s="16" t="inlineStr">
        <is>
          <t>BALU-RS-001 Rev 0.4</t>
        </is>
      </c>
    </row>
    <row r="139">
      <c r="A139" s="16" t="inlineStr">
        <is>
          <t>UART-VER-005</t>
        </is>
      </c>
      <c r="B139" s="16" t="inlineStr">
        <is>
          <t>VER</t>
        </is>
      </c>
      <c r="C139" s="16" t="inlineStr">
        <is>
          <t>infrastructure</t>
        </is>
      </c>
      <c r="D139" s="16" t="inlineStr">
        <is>
          <t>OVERRUN + RX_FULL simultaneous</t>
        </is>
      </c>
      <c r="E139" s="16" t="inlineStr">
        <is>
          <t>BALU-RS-001</t>
        </is>
      </c>
      <c r="F139" s="16" t="inlineStr">
        <is>
          <t>§11</t>
        </is>
      </c>
      <c r="G139" s="16" t="inlineStr">
        <is>
          <t>test</t>
        </is>
      </c>
      <c r="H139" s="16" t="inlineStr">
        <is>
          <t>COV-008</t>
        </is>
      </c>
      <c r="I139" s="16" t="inlineStr">
        <is>
          <t>Fill RX FIFO to capacity then transmit additional byte to force overrun; verify overrun byte discarded and FIFO content unchanged.</t>
        </is>
      </c>
      <c r="J139" s="16" t="inlineStr"/>
      <c r="K139" s="16" t="inlineStr">
        <is>
          <t>GENERATED</t>
        </is>
      </c>
      <c r="L139" s="16" t="inlineStr"/>
      <c r="M139" s="16" t="inlineStr"/>
      <c r="N139" s="16" t="inlineStr"/>
      <c r="O139" s="16" t="inlineStr">
        <is>
          <t>vhdl/buffered_axi_lite_uart.vhd</t>
        </is>
      </c>
      <c r="P139" s="16" t="inlineStr">
        <is>
          <t>RTL</t>
        </is>
      </c>
      <c r="Q139" s="16" t="inlineStr">
        <is>
          <t>NOT_RUN</t>
        </is>
      </c>
      <c r="R139" s="16" t="inlineStr"/>
      <c r="S139" s="16" t="inlineStr"/>
      <c r="T139" s="16" t="inlineStr"/>
      <c r="U139" s="16" t="inlineStr">
        <is>
          <t>NOT_RUN</t>
        </is>
      </c>
      <c r="V139" s="16" t="inlineStr"/>
      <c r="W139" s="16" t="inlineStr"/>
      <c r="X139" s="17">
        <f>IF(K139="WAIVED","WAIVED",IF(H139="","OPEN",IF(Q139="PASS",IF(Y139&lt;&gt;"","CLOSED","PASSING"),IF(Q139="FAIL","FAILING","COVERED"))))</f>
        <v/>
      </c>
      <c r="Y139" s="16" t="inlineStr"/>
      <c r="Z139" s="16" t="inlineStr"/>
      <c r="AA139" s="16" t="inlineStr"/>
      <c r="AB139" s="16" t="inlineStr">
        <is>
          <t>1.0.0</t>
        </is>
      </c>
      <c r="AC139" s="16" t="inlineStr">
        <is>
          <t>ZUBoard 1CG / Basys 3</t>
        </is>
      </c>
      <c r="AD139" s="16" t="inlineStr">
        <is>
          <t>BALU-RS-001 Rev 0.4</t>
        </is>
      </c>
    </row>
    <row r="140">
      <c r="A140" s="16" t="inlineStr">
        <is>
          <t>UART-VER-006</t>
        </is>
      </c>
      <c r="B140" s="16" t="inlineStr">
        <is>
          <t>VER</t>
        </is>
      </c>
      <c r="C140" s="16" t="inlineStr">
        <is>
          <t>infrastructure</t>
        </is>
      </c>
      <c r="D140" s="16" t="inlineStr">
        <is>
          <t>Both AXI write orderings exercised</t>
        </is>
      </c>
      <c r="E140" s="16" t="inlineStr">
        <is>
          <t>BALU-RS-001</t>
        </is>
      </c>
      <c r="F140" s="16" t="inlineStr">
        <is>
          <t>§11</t>
        </is>
      </c>
      <c r="G140" s="16" t="inlineStr">
        <is>
          <t>test</t>
        </is>
      </c>
      <c r="H140" s="16" t="inlineStr">
        <is>
          <t>COV-012</t>
        </is>
      </c>
      <c r="I140" s="16" t="inlineStr">
        <is>
          <t>Issue AXI write with AWVALID first then WVALID, then repeat with WVALID first then AWVALID; verify correct response in both orderings.</t>
        </is>
      </c>
      <c r="J140" s="16" t="inlineStr"/>
      <c r="K140" s="16" t="inlineStr">
        <is>
          <t>GENERATED</t>
        </is>
      </c>
      <c r="L140" s="16" t="inlineStr"/>
      <c r="M140" s="16" t="inlineStr"/>
      <c r="N140" s="16" t="inlineStr"/>
      <c r="O140" s="16" t="inlineStr">
        <is>
          <t>vhdl/buffered_axi_lite_uart.vhd</t>
        </is>
      </c>
      <c r="P140" s="16" t="inlineStr">
        <is>
          <t>RTL</t>
        </is>
      </c>
      <c r="Q140" s="16" t="inlineStr">
        <is>
          <t>NOT_RUN</t>
        </is>
      </c>
      <c r="R140" s="16" t="inlineStr"/>
      <c r="S140" s="16" t="inlineStr"/>
      <c r="T140" s="16" t="inlineStr"/>
      <c r="U140" s="16" t="inlineStr">
        <is>
          <t>NOT_RUN</t>
        </is>
      </c>
      <c r="V140" s="16" t="inlineStr"/>
      <c r="W140" s="16" t="inlineStr"/>
      <c r="X140" s="17">
        <f>IF(K140="WAIVED","WAIVED",IF(H140="","OPEN",IF(Q140="PASS",IF(Y140&lt;&gt;"","CLOSED","PASSING"),IF(Q140="FAIL","FAILING","COVERED"))))</f>
        <v/>
      </c>
      <c r="Y140" s="16" t="inlineStr"/>
      <c r="Z140" s="16" t="inlineStr"/>
      <c r="AA140" s="16" t="inlineStr"/>
      <c r="AB140" s="16" t="inlineStr">
        <is>
          <t>1.0.0</t>
        </is>
      </c>
      <c r="AC140" s="16" t="inlineStr">
        <is>
          <t>ZUBoard 1CG / Basys 3</t>
        </is>
      </c>
      <c r="AD140" s="16" t="inlineStr">
        <is>
          <t>BALU-RS-001 Rev 0.4</t>
        </is>
      </c>
    </row>
    <row r="141">
      <c r="A141" s="16" t="inlineStr">
        <is>
          <t>UART-VER-007</t>
        </is>
      </c>
      <c r="B141" s="16" t="inlineStr">
        <is>
          <t>VER</t>
        </is>
      </c>
      <c r="C141" s="16" t="inlineStr">
        <is>
          <t>infrastructure</t>
        </is>
      </c>
      <c r="D141" s="16" t="inlineStr">
        <is>
          <t>BAUD_TUNING write while UART_EN=1</t>
        </is>
      </c>
      <c r="E141" s="16" t="inlineStr">
        <is>
          <t>BALU-RS-001</t>
        </is>
      </c>
      <c r="F141" s="16" t="inlineStr">
        <is>
          <t>§11</t>
        </is>
      </c>
      <c r="G141" s="16" t="inlineStr">
        <is>
          <t>test</t>
        </is>
      </c>
      <c r="H141" s="16" t="inlineStr">
        <is>
          <t>COV-013</t>
        </is>
      </c>
      <c r="I141" s="16" t="inlineStr">
        <is>
          <t>Assert UART_EN, write a new value to BAUD_TUNING, read back and verify original value unchanged; confirms silent-ignore while enabled.</t>
        </is>
      </c>
      <c r="J141" s="16" t="inlineStr"/>
      <c r="K141" s="16" t="inlineStr">
        <is>
          <t>GENERATED</t>
        </is>
      </c>
      <c r="L141" s="16" t="inlineStr"/>
      <c r="M141" s="16" t="inlineStr"/>
      <c r="N141" s="16" t="inlineStr"/>
      <c r="O141" s="16" t="inlineStr">
        <is>
          <t>vhdl/buffered_axi_lite_uart.vhd</t>
        </is>
      </c>
      <c r="P141" s="16" t="inlineStr">
        <is>
          <t>RTL</t>
        </is>
      </c>
      <c r="Q141" s="16" t="inlineStr">
        <is>
          <t>NOT_RUN</t>
        </is>
      </c>
      <c r="R141" s="16" t="inlineStr"/>
      <c r="S141" s="16" t="inlineStr"/>
      <c r="T141" s="16" t="inlineStr"/>
      <c r="U141" s="16" t="inlineStr">
        <is>
          <t>NOT_RUN</t>
        </is>
      </c>
      <c r="V141" s="16" t="inlineStr"/>
      <c r="W141" s="16" t="inlineStr"/>
      <c r="X141" s="17">
        <f>IF(K141="WAIVED","WAIVED",IF(H141="","OPEN",IF(Q141="PASS",IF(Y141&lt;&gt;"","CLOSED","PASSING"),IF(Q141="FAIL","FAILING","COVERED"))))</f>
        <v/>
      </c>
      <c r="Y141" s="16" t="inlineStr"/>
      <c r="Z141" s="16" t="inlineStr"/>
      <c r="AA141" s="16" t="inlineStr"/>
      <c r="AB141" s="16" t="inlineStr">
        <is>
          <t>1.0.0</t>
        </is>
      </c>
      <c r="AC141" s="16" t="inlineStr">
        <is>
          <t>ZUBoard 1CG / Basys 3</t>
        </is>
      </c>
      <c r="AD141" s="16" t="inlineStr">
        <is>
          <t>BALU-RS-001 Rev 0.4</t>
        </is>
      </c>
    </row>
    <row r="142">
      <c r="A142" s="16" t="inlineStr">
        <is>
          <t>UART-VER-008</t>
        </is>
      </c>
      <c r="B142" s="16" t="inlineStr">
        <is>
          <t>VER</t>
        </is>
      </c>
      <c r="C142" s="16" t="inlineStr">
        <is>
          <t>infrastructure</t>
        </is>
      </c>
      <c r="D142" s="16" t="inlineStr">
        <is>
          <t>Timeout with three TIMEOUT_VAL settings</t>
        </is>
      </c>
      <c r="E142" s="16" t="inlineStr">
        <is>
          <t>BALU-RS-001</t>
        </is>
      </c>
      <c r="F142" s="16" t="inlineStr">
        <is>
          <t>§11</t>
        </is>
      </c>
      <c r="G142" s="16" t="inlineStr">
        <is>
          <t>test</t>
        </is>
      </c>
      <c r="H142" s="16" t="inlineStr">
        <is>
          <t>COV-006</t>
        </is>
      </c>
      <c r="I142" s="16" t="inlineStr">
        <is>
          <t>TIMEOUT_VAL set to 0x0000, 0x0001, G_TIMEOUT_DEFAULT, 0xFFFE, and 0xFFFF; idle receiver until timeout fires for each non-zero value.</t>
        </is>
      </c>
      <c r="J142" s="16" t="inlineStr"/>
      <c r="K142" s="16" t="inlineStr">
        <is>
          <t>GENERATED</t>
        </is>
      </c>
      <c r="L142" s="16" t="inlineStr"/>
      <c r="M142" s="16" t="inlineStr"/>
      <c r="N142" s="16" t="inlineStr"/>
      <c r="O142" s="16" t="inlineStr">
        <is>
          <t>vhdl/buffered_axi_lite_uart.vhd</t>
        </is>
      </c>
      <c r="P142" s="16" t="inlineStr">
        <is>
          <t>RTL</t>
        </is>
      </c>
      <c r="Q142" s="16" t="inlineStr">
        <is>
          <t>NOT_RUN</t>
        </is>
      </c>
      <c r="R142" s="16" t="inlineStr"/>
      <c r="S142" s="16" t="inlineStr"/>
      <c r="T142" s="16" t="inlineStr"/>
      <c r="U142" s="16" t="inlineStr">
        <is>
          <t>NOT_RUN</t>
        </is>
      </c>
      <c r="V142" s="16" t="inlineStr"/>
      <c r="W142" s="16" t="inlineStr"/>
      <c r="X142" s="17">
        <f>IF(K142="WAIVED","WAIVED",IF(H142="","OPEN",IF(Q142="PASS",IF(Y142&lt;&gt;"","CLOSED","PASSING"),IF(Q142="FAIL","FAILING","COVERED"))))</f>
        <v/>
      </c>
      <c r="Y142" s="16" t="inlineStr"/>
      <c r="Z142" s="16" t="inlineStr"/>
      <c r="AA142" s="16" t="inlineStr"/>
      <c r="AB142" s="16" t="inlineStr">
        <is>
          <t>1.0.0</t>
        </is>
      </c>
      <c r="AC142" s="16" t="inlineStr">
        <is>
          <t>ZUBoard 1CG / Basys 3</t>
        </is>
      </c>
      <c r="AD142" s="16" t="inlineStr">
        <is>
          <t>BALU-RS-001 Rev 0.4</t>
        </is>
      </c>
    </row>
    <row r="143">
      <c r="A143" s="16" t="inlineStr">
        <is>
          <t>UART-VER-009</t>
        </is>
      </c>
      <c r="B143" s="16" t="inlineStr">
        <is>
          <t>VER</t>
        </is>
      </c>
      <c r="C143" s="16" t="inlineStr">
        <is>
          <t>infrastructure</t>
        </is>
      </c>
      <c r="D143" s="16" t="inlineStr">
        <is>
          <t>All parity modes in loopback</t>
        </is>
      </c>
      <c r="E143" s="16" t="inlineStr">
        <is>
          <t>BALU-RS-001</t>
        </is>
      </c>
      <c r="F143" s="16" t="inlineStr">
        <is>
          <t>§11</t>
        </is>
      </c>
      <c r="G143" s="16" t="inlineStr">
        <is>
          <t>test</t>
        </is>
      </c>
      <c r="H143" s="16" t="inlineStr">
        <is>
          <t>COV-002</t>
        </is>
      </c>
      <c r="I143" s="16" t="inlineStr">
        <is>
          <t>All four parity modes (00/01/10/11) exercised independently in LOOP_EN loopback; inject parity error bit for odd and even modes.</t>
        </is>
      </c>
      <c r="J143" s="16" t="inlineStr"/>
      <c r="K143" s="16" t="inlineStr">
        <is>
          <t>GENERATED</t>
        </is>
      </c>
      <c r="L143" s="16" t="inlineStr"/>
      <c r="M143" s="16" t="inlineStr"/>
      <c r="N143" s="16" t="inlineStr"/>
      <c r="O143" s="16" t="inlineStr">
        <is>
          <t>vhdl/buffered_axi_lite_uart.vhd</t>
        </is>
      </c>
      <c r="P143" s="16" t="inlineStr">
        <is>
          <t>RTL</t>
        </is>
      </c>
      <c r="Q143" s="16" t="inlineStr">
        <is>
          <t>NOT_RUN</t>
        </is>
      </c>
      <c r="R143" s="16" t="inlineStr"/>
      <c r="S143" s="16" t="inlineStr"/>
      <c r="T143" s="16" t="inlineStr"/>
      <c r="U143" s="16" t="inlineStr">
        <is>
          <t>NOT_RUN</t>
        </is>
      </c>
      <c r="V143" s="16" t="inlineStr"/>
      <c r="W143" s="16" t="inlineStr"/>
      <c r="X143" s="17">
        <f>IF(K143="WAIVED","WAIVED",IF(H143="","OPEN",IF(Q143="PASS",IF(Y143&lt;&gt;"","CLOSED","PASSING"),IF(Q143="FAIL","FAILING","COVERED"))))</f>
        <v/>
      </c>
      <c r="Y143" s="16" t="inlineStr"/>
      <c r="Z143" s="16" t="inlineStr"/>
      <c r="AA143" s="16" t="inlineStr"/>
      <c r="AB143" s="16" t="inlineStr">
        <is>
          <t>1.0.0</t>
        </is>
      </c>
      <c r="AC143" s="16" t="inlineStr">
        <is>
          <t>ZUBoard 1CG / Basys 3</t>
        </is>
      </c>
      <c r="AD143" s="16" t="inlineStr">
        <is>
          <t>BALU-RS-001 Rev 0.4</t>
        </is>
      </c>
    </row>
    <row r="144">
      <c r="A144" s="16" t="inlineStr">
        <is>
          <t>UART-VER-010</t>
        </is>
      </c>
      <c r="B144" s="16" t="inlineStr">
        <is>
          <t>VER</t>
        </is>
      </c>
      <c r="C144" s="16" t="inlineStr">
        <is>
          <t>infrastructure</t>
        </is>
      </c>
      <c r="D144" s="16" t="inlineStr">
        <is>
          <t>RX overrun byte discard verified</t>
        </is>
      </c>
      <c r="E144" s="16" t="inlineStr">
        <is>
          <t>BALU-RS-001</t>
        </is>
      </c>
      <c r="F144" s="16" t="inlineStr">
        <is>
          <t>§11</t>
        </is>
      </c>
      <c r="G144" s="16" t="inlineStr">
        <is>
          <t>test</t>
        </is>
      </c>
      <c r="H144" s="16" t="inlineStr">
        <is>
          <t>COV-008</t>
        </is>
      </c>
      <c r="I144" s="16" t="inlineStr">
        <is>
          <t>Fill RX FIFO to capacity then transmit additional byte to force overrun; verify overrun byte discarded and FIFO content unchanged.</t>
        </is>
      </c>
      <c r="J144" s="16" t="inlineStr"/>
      <c r="K144" s="16" t="inlineStr">
        <is>
          <t>GENERATED</t>
        </is>
      </c>
      <c r="L144" s="16" t="inlineStr"/>
      <c r="M144" s="16" t="inlineStr"/>
      <c r="N144" s="16" t="inlineStr"/>
      <c r="O144" s="16" t="inlineStr">
        <is>
          <t>vhdl/buffered_axi_lite_uart.vhd</t>
        </is>
      </c>
      <c r="P144" s="16" t="inlineStr">
        <is>
          <t>RTL</t>
        </is>
      </c>
      <c r="Q144" s="16" t="inlineStr">
        <is>
          <t>NOT_RUN</t>
        </is>
      </c>
      <c r="R144" s="16" t="inlineStr"/>
      <c r="S144" s="16" t="inlineStr"/>
      <c r="T144" s="16" t="inlineStr"/>
      <c r="U144" s="16" t="inlineStr">
        <is>
          <t>NOT_RUN</t>
        </is>
      </c>
      <c r="V144" s="16" t="inlineStr"/>
      <c r="W144" s="16" t="inlineStr"/>
      <c r="X144" s="17">
        <f>IF(K144="WAIVED","WAIVED",IF(H144="","OPEN",IF(Q144="PASS",IF(Y144&lt;&gt;"","CLOSED","PASSING"),IF(Q144="FAIL","FAILING","COVERED"))))</f>
        <v/>
      </c>
      <c r="Y144" s="16" t="inlineStr"/>
      <c r="Z144" s="16" t="inlineStr"/>
      <c r="AA144" s="16" t="inlineStr"/>
      <c r="AB144" s="16" t="inlineStr">
        <is>
          <t>1.0.0</t>
        </is>
      </c>
      <c r="AC144" s="16" t="inlineStr">
        <is>
          <t>ZUBoard 1CG / Basys 3</t>
        </is>
      </c>
      <c r="AD144" s="16" t="inlineStr">
        <is>
          <t>BALU-RS-001 Rev 0.4</t>
        </is>
      </c>
    </row>
  </sheetData>
  <mergeCells count="6">
    <mergeCell ref="A1:F1"/>
    <mergeCell ref="N1:P1"/>
    <mergeCell ref="X1:AA1"/>
    <mergeCell ref="Q1:W1"/>
    <mergeCell ref="G1:M1"/>
    <mergeCell ref="AB1:AD1"/>
  </mergeCells>
  <conditionalFormatting sqref="A4:AD2000">
    <cfRule type="expression" priority="1" dxfId="0">
      <formula>$X4="CLOSED"</formula>
    </cfRule>
    <cfRule type="expression" priority="2" dxfId="1">
      <formula>$X4="PASSING"</formula>
    </cfRule>
    <cfRule type="expression" priority="3" dxfId="2">
      <formula>$X4="FAILING"</formula>
    </cfRule>
    <cfRule type="expression" priority="4" dxfId="3">
      <formula>$X4="WAIVED"</formula>
    </cfRule>
  </conditionalFormatting>
  <dataValidations count="7">
    <dataValidation sqref="C4:C2000" showDropDown="0" showInputMessage="1" showErrorMessage="1" allowBlank="1" errorTitle="Invalid value" error="Choose from the list." promptTitle="Requirement Type" prompt="functional / structural / parametric / build-time / infrastructure" type="list">
      <formula1>"functional,structural,parametric,build-time,infrastructure"</formula1>
    </dataValidation>
    <dataValidation sqref="G4:G2000" showDropDown="0" showInputMessage="1" showErrorMessage="1" allowBlank="1" errorTitle="Invalid value" error="Choose from the list." promptTitle="Verification Method" prompt="test / inspection / analysis / build-time" type="list">
      <formula1>"test,inspection,analysis,build-time"</formula1>
    </dataValidation>
    <dataValidation sqref="K4:K2000" showDropDown="0" showInputMessage="1" showErrorMessage="1" allowBlank="1" errorTitle="Invalid value" error="Choose from the list." promptTitle="Disposition" prompt="GENERATED = planned  CONFIRMED = evidence accepted  WAIVED = explicitly excluded" type="list">
      <formula1>"GENERATED,CONFIRMED,WAIVED"</formula1>
    </dataValidation>
    <dataValidation sqref="M4:M2000" showDropDown="0" showInputMessage="1" showErrorMessage="1" allowBlank="1" errorTitle="Invalid value" error="Choose from the list." promptTitle="Risk Acceptance" prompt="Required when Disposition = WAIVED. HIGH requires Closure_Author signature." type="list">
      <formula1>"LOW,MEDIUM,HIGH"</formula1>
    </dataValidation>
    <dataValidation sqref="P4:P2000" showDropDown="0" showInputMessage="1" showErrorMessage="1" allowBlank="1" errorTitle="Invalid value" error="Choose from the list." promptTitle="Simulation Mode" prompt="RTL / gate-level / formal" type="list">
      <formula1>"RTL,gate-level,formal"</formula1>
    </dataValidation>
    <dataValidation sqref="Q4:Q2000" showDropDown="0" showInputMessage="1" showErrorMessage="1" allowBlank="1" errorTitle="Invalid value" error="Choose from the list." promptTitle="RTL Status" prompt="PASS / FAIL / NOT_RUN / BLOCKED — written by pssgen" type="list">
      <formula1>"PASS,FAIL,NOT_RUN,BLOCKED"</formula1>
    </dataValidation>
    <dataValidation sqref="U4:U2000" showDropDown="0" showInputMessage="1" showErrorMessage="1" allowBlank="1" errorTitle="Invalid value" error="Choose from the list." promptTitle="Gate Status" prompt="PASS / FAIL / NOT_RUN — written by pssgen after gate-level sim" type="list">
      <formula1>"PASS,FAIL,NOT_RUN"</formula1>
    </dataValidation>
  </dataValidations>
  <pageMargins left="0.75" right="0.75" top="1" bottom="1" header="0.5" footer="0.5"/>
</worksheet>
</file>

<file path=xl/worksheets/sheet2.xml><?xml version="1.0" encoding="utf-8"?>
<worksheet xmlns="http://schemas.openxmlformats.org/spreadsheetml/2006/main">
  <sheetPr>
    <tabColor rgb="00375623"/>
    <outlinePr summaryBelow="1" summaryRight="1"/>
    <pageSetUpPr/>
  </sheetPr>
  <dimension ref="A1:H25"/>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0" customWidth="1" min="2" max="2"/>
    <col width="45" customWidth="1" min="3" max="3"/>
    <col width="40" customWidth="1" min="4" max="4"/>
    <col width="45" customWidth="1" min="5" max="5"/>
    <col width="35" customWidth="1" min="6" max="6"/>
    <col width="14" customWidth="1" min="7" max="7"/>
    <col width="35" customWidth="1" min="8" max="8"/>
  </cols>
  <sheetData>
    <row r="1" ht="18" customHeight="1">
      <c r="A1" s="10" t="inlineStr">
        <is>
          <t>COVERAGE GOALS — one row per COV item</t>
        </is>
      </c>
    </row>
    <row r="2" ht="28" customHeight="1">
      <c r="A2" s="7" t="inlineStr">
        <is>
          <t>ID</t>
        </is>
      </c>
      <c r="B2" s="7" t="inlineStr">
        <is>
          <t>Name</t>
        </is>
      </c>
      <c r="C2" s="7" t="inlineStr">
        <is>
          <t>Description</t>
        </is>
      </c>
      <c r="D2" s="7" t="inlineStr">
        <is>
          <t>Stimulus_Strategy</t>
        </is>
      </c>
      <c r="E2" s="7" t="inlineStr">
        <is>
          <t>Boundary_Values</t>
        </is>
      </c>
      <c r="F2" s="7" t="inlineStr">
        <is>
          <t>Linked_Requirements</t>
        </is>
      </c>
      <c r="G2" s="7" t="inlineStr">
        <is>
          <t>Status</t>
        </is>
      </c>
      <c r="H2" s="7" t="inlineStr">
        <is>
          <t>Notes</t>
        </is>
      </c>
    </row>
    <row r="3">
      <c r="A3" s="16" t="inlineStr">
        <is>
          <t>COV-001</t>
        </is>
      </c>
      <c r="B3" s="16" t="inlineStr">
        <is>
          <t>BAUD_TUNING</t>
        </is>
      </c>
      <c r="C3" s="16" t="inlineStr">
        <is>
          <t>NCO tuning word sweep covering standard baud rates and boundary values. 12 values computed for G_CLK_FREQ_HZ = 100 MHz.</t>
        </is>
      </c>
      <c r="D3" s="16" t="inlineStr">
        <is>
          <t>NCO tuning word sweep at 12 values from minimum (0x00000001) to maximum (0xFFFFFFFF) including all standard baud rates.</t>
        </is>
      </c>
      <c r="E3" s="16" t="inlineStr">
        <is>
          <t>0x00000001 (min), standard baud rates 9600-921600, 3/4 Mbaud, 0xFFFFFFFF (max)</t>
        </is>
      </c>
      <c r="F3" s="16" t="inlineStr">
        <is>
          <t>UART-BR-001, UART-BR-002, UART-BR-003, UART-BR-005, UART-BR-006, UART-PAR-004, UART-PAR-005, UART-PAR-007, UART-REG-026, UART-REG-027</t>
        </is>
      </c>
      <c r="G3" s="16" t="inlineStr">
        <is>
          <t>PLANNED</t>
        </is>
      </c>
      <c r="H3" s="16" t="inlineStr"/>
    </row>
    <row r="4">
      <c r="A4" s="16" t="inlineStr">
        <is>
          <t>COV-002</t>
        </is>
      </c>
      <c r="B4" s="16" t="inlineStr">
        <is>
          <t>CTRL.PARITY</t>
        </is>
      </c>
      <c r="C4" s="16" t="inlineStr">
        <is>
          <t>All four parity modes (none/odd/even/mark) exercised independently in LOOP_EN loopback with parity error injection for odd and even modes.</t>
        </is>
      </c>
      <c r="D4" s="16" t="inlineStr">
        <is>
          <t>All four parity modes (00/01/10/11) exercised independently in LOOP_EN loopback; inject parity error bit for odd and even modes.</t>
        </is>
      </c>
      <c r="E4" s="16" t="inlineStr">
        <is>
          <t>2'b00 (none), 2'b01 (odd+error inject), 2'b10 (even+error inject), 2'b11 (mark)</t>
        </is>
      </c>
      <c r="F4" s="16" t="inlineStr">
        <is>
          <t>UART-FF-005, UART-FF-006, UART-FF-007, UART-FF-008, UART-FF-009, UART-REG-009, UART-VER-009</t>
        </is>
      </c>
      <c r="G4" s="16" t="inlineStr">
        <is>
          <t>PLANNED</t>
        </is>
      </c>
      <c r="H4" s="16" t="inlineStr"/>
    </row>
    <row r="5">
      <c r="A5" s="16" t="inlineStr">
        <is>
          <t>COV-003</t>
        </is>
      </c>
      <c r="B5" s="16" t="inlineStr">
        <is>
          <t>CTRL.STOP_BITS</t>
        </is>
      </c>
      <c r="C5" s="16" t="inlineStr">
        <is>
          <t>Both stop bit configurations (1 and 2 stop bits) exercised in loopback; receive accepts 1 stop bit in both modes.</t>
        </is>
      </c>
      <c r="D5" s="16" t="inlineStr">
        <is>
          <t>Both stop bit configurations (1 and 2 stop bits) exercised in LOOP_EN loopback with frame integrity check.</t>
        </is>
      </c>
      <c r="E5" s="16" t="inlineStr">
        <is>
          <t>1'b0 (1 stop bit), 1'b1 (2 stop bits)</t>
        </is>
      </c>
      <c r="F5" s="16" t="inlineStr">
        <is>
          <t>UART-FF-002, UART-FF-003, UART-FF-004, UART-REG-010</t>
        </is>
      </c>
      <c r="G5" s="16" t="inlineStr">
        <is>
          <t>PLANNED</t>
        </is>
      </c>
      <c r="H5" s="16" t="inlineStr"/>
    </row>
    <row r="6">
      <c r="A6" s="16" t="inlineStr">
        <is>
          <t>COV-004</t>
        </is>
      </c>
      <c r="B6" s="16" t="inlineStr">
        <is>
          <t>FIFO_STATUS.RX_LEVEL</t>
        </is>
      </c>
      <c r="C6" s="16" t="inlineStr">
        <is>
          <t>RX FIFO occupancy swept to key boundary values relative to RX_THRESH. G_FIFO_DEPTH used for instantiation independence.</t>
        </is>
      </c>
      <c r="D6" s="16" t="inlineStr">
        <is>
          <t>RX FIFO occupancy driven to 0, RX_THRESH-1, RX_THRESH, RX_THRESH+1, and G_FIFO_DEPTH to verify status flags and overrun discard.</t>
        </is>
      </c>
      <c r="E6" s="16" t="inlineStr">
        <is>
          <t>0 (RX_EMPTY), RX_THRESH-1, RX_THRESH, RX_THRESH+1 (interrupt fires), G_FIFO_DEPTH (full/overrun)</t>
        </is>
      </c>
      <c r="F6" s="16" t="inlineStr">
        <is>
          <t>UART-FIFO-004, UART-FIFO-005, UART-FIFO-007, UART-FIFO-009, UART-REG-019, UART-REG-034</t>
        </is>
      </c>
      <c r="G6" s="16" t="inlineStr">
        <is>
          <t>PLANNED</t>
        </is>
      </c>
      <c r="H6" s="16" t="inlineStr"/>
    </row>
    <row r="7">
      <c r="A7" s="16" t="inlineStr">
        <is>
          <t>COV-005</t>
        </is>
      </c>
      <c r="B7" s="16" t="inlineStr">
        <is>
          <t>FIFO_STATUS.TX_LEVEL</t>
        </is>
      </c>
      <c r="C7" s="16" t="inlineStr">
        <is>
          <t>TX FIFO occupancy swept to key boundary values. TX_THRESH fires when occupancy falls BELOW threshold (asymmetric vs RX — common RTL bug source).</t>
        </is>
      </c>
      <c r="D7" s="16" t="inlineStr">
        <is>
          <t>TX FIFO occupancy driven to 0, TX_THRESH-1, TX_THRESH, TX_THRESH+1, and G_FIFO_DEPTH to verify status flags and write-ignore behavior.</t>
        </is>
      </c>
      <c r="E7" s="16" t="inlineStr">
        <is>
          <t>0 (TX_EMPTY), TX_THRESH-1, TX_THRESH, TX_THRESH+1 (interrupt fires), G_FIFO_DEPTH (full)</t>
        </is>
      </c>
      <c r="F7" s="16" t="inlineStr">
        <is>
          <t>UART-FIFO-002, UART-FIFO-003, UART-FIFO-006, UART-FIFO-008, UART-REG-016, UART-REG-017, UART-REG-033</t>
        </is>
      </c>
      <c r="G7" s="16" t="inlineStr">
        <is>
          <t>PLANNED</t>
        </is>
      </c>
      <c r="H7" s="16" t="inlineStr"/>
    </row>
    <row r="8">
      <c r="A8" s="16" t="inlineStr">
        <is>
          <t>COV-006</t>
        </is>
      </c>
      <c r="B8" s="16" t="inlineStr">
        <is>
          <t>TIMEOUT_VAL</t>
        </is>
      </c>
      <c r="C8" s="16" t="inlineStr">
        <is>
          <t>Timeout counter exercised at disable boundary (0) and active values including reset default. G_TIMEOUT_DEFAULT used for instantiation independence.</t>
        </is>
      </c>
      <c r="D8" s="16" t="inlineStr">
        <is>
          <t>TIMEOUT_VAL set to 0x0000, 0x0001, G_TIMEOUT_DEFAULT, 0xFFFE, and 0xFFFF; idle receiver until timeout fires for each non-zero value.</t>
        </is>
      </c>
      <c r="E8" s="16" t="inlineStr">
        <is>
          <t>0x0000 (disabled), 0x0001 (minimum active), G_TIMEOUT_DEFAULT (reset), 0xFFFE, 0xFFFF (maximum)</t>
        </is>
      </c>
      <c r="F8" s="16" t="inlineStr">
        <is>
          <t>UART-TO-001, UART-TO-002, UART-TO-003, UART-TO-004, UART-TO-005, UART-TO-006, UART-REG-035, UART-REG-036, UART-PAR-006, UART-VER-008</t>
        </is>
      </c>
      <c r="G8" s="16" t="inlineStr">
        <is>
          <t>PLANNED</t>
        </is>
      </c>
      <c r="H8" s="16" t="inlineStr"/>
    </row>
    <row r="9">
      <c r="A9" s="16" t="inlineStr">
        <is>
          <t>COV-007</t>
        </is>
      </c>
      <c r="B9" s="16" t="inlineStr">
        <is>
          <t>INT_STATUS each_bit_independently</t>
        </is>
      </c>
      <c r="C9" s="16" t="inlineStr">
        <is>
          <t>Each of 8 interrupt sources set and cleared independently. Isolation before co-occurrence per NOTE-004.</t>
        </is>
      </c>
      <c r="D9" s="16" t="inlineStr">
        <is>
          <t>Each of 8 interrupt sources set and cleared independently via directed stimulus; verify IRQ asserts and deasserts correctly for each bit.</t>
        </is>
      </c>
      <c r="E9" s="16" t="inlineStr">
        <is>
          <t>Each of 8 bits: TIMEOUT, TX_THRESH, RX_THRESH, TX_EMPTY, RX_FULL, PARITY_ERR, FRAME_ERR, OVERRUN — set and W1C cleared independently</t>
        </is>
      </c>
      <c r="F9" s="16" t="inlineStr">
        <is>
          <t>UART-INT-001, UART-INT-002, UART-INT-003, UART-INT-004, UART-INT-005, UART-INT-006, UART-INT-007, UART-INT-008, UART-REG-037, UART-REG-039, UART-REG-040, UART-VER-004</t>
        </is>
      </c>
      <c r="G9" s="16" t="inlineStr">
        <is>
          <t>PLANNED</t>
        </is>
      </c>
      <c r="H9" s="16" t="inlineStr"/>
    </row>
    <row r="10">
      <c r="A10" s="16" t="inlineStr">
        <is>
          <t>COV-008</t>
        </is>
      </c>
      <c r="B10" s="16" t="inlineStr">
        <is>
          <t>INT_STATUS.OVERRUN &amp;&amp; INT_STATUS.RX_FULL</t>
        </is>
      </c>
      <c r="C10" s="16" t="inlineStr">
        <is>
          <t>RX overrun while FIFO full — critical co-occurrence likely to expose FIFO pointer corruption bugs. Verifies overrun byte discarded and FIFO content preserved.</t>
        </is>
      </c>
      <c r="D10" s="16" t="inlineStr">
        <is>
          <t>Fill RX FIFO to capacity then transmit additional byte to force overrun; verify overrun byte discarded and FIFO content unchanged.</t>
        </is>
      </c>
      <c r="E10" s="16" t="inlineStr">
        <is>
          <t>RX FIFO at exactly G_FIFO_DEPTH, then one additional received byte</t>
        </is>
      </c>
      <c r="F10" s="16" t="inlineStr">
        <is>
          <t>UART-FIFO-007, UART-INT-005, UART-INT-006, UART-REG-018, UART-REG-024, UART-VER-005, UART-VER-010</t>
        </is>
      </c>
      <c r="G10" s="16" t="inlineStr">
        <is>
          <t>PLANNED</t>
        </is>
      </c>
      <c r="H10" s="16" t="inlineStr"/>
    </row>
    <row r="11">
      <c r="A11" s="16" t="inlineStr">
        <is>
          <t>COV-009</t>
        </is>
      </c>
      <c r="B11" s="16" t="inlineStr">
        <is>
          <t>INT_STATUS.TIMEOUT &amp;&amp; INT_STATUS.RX_THRESH</t>
        </is>
      </c>
      <c r="C11" s="16" t="inlineStr">
        <is>
          <t>Timeout pending simultaneously with RX threshold. Verifies IRQ OR reduction logic handles multiple sources correctly.</t>
        </is>
      </c>
      <c r="D11" s="16" t="inlineStr">
        <is>
          <t>Set TIMEOUT_VAL non-zero, fill RX FIFO above RX_THRESH, then idle until timeout fires; verify both INT_STATUS.TIMEOUT and INT_STATUS.RX_THRESH set simultaneously.</t>
        </is>
      </c>
      <c r="E11" s="16" t="inlineStr">
        <is>
          <t>RX FIFO &gt; RX_THRESH (threshold set), then idle until timeout fires while threshold remains set</t>
        </is>
      </c>
      <c r="F11" s="16" t="inlineStr">
        <is>
          <t>UART-TO-005, UART-INT-002, UART-INT-008, UART-REG-014</t>
        </is>
      </c>
      <c r="G11" s="16" t="inlineStr">
        <is>
          <t>PLANNED</t>
        </is>
      </c>
      <c r="H11" s="16" t="inlineStr"/>
    </row>
    <row r="12">
      <c r="A12" s="16" t="inlineStr">
        <is>
          <t>COV-010</t>
        </is>
      </c>
      <c r="B12" s="16" t="inlineStr">
        <is>
          <t>AXI_BRESP</t>
        </is>
      </c>
      <c r="C12" s="16" t="inlineStr">
        <is>
          <t>Both OKAY (2'b00) and SLVERR (2'b10) response codes on write channel. SLVERR via undefined offset 0x30 per NOTE-005.</t>
        </is>
      </c>
      <c r="D12" s="16" t="inlineStr">
        <is>
          <t>AXI write to valid register offset (OKAY expected) and to undefined offset 0x30 (SLVERR expected); capture BRESP each time.</t>
        </is>
      </c>
      <c r="E12" s="16" t="inlineStr">
        <is>
          <t>Valid offset BRESP=OKAY, undefined offset 0x30 BRESP=SLVERR</t>
        </is>
      </c>
      <c r="F12" s="16" t="inlineStr">
        <is>
          <t>UART-IF-006, UART-IF-008, UART-REG-001</t>
        </is>
      </c>
      <c r="G12" s="16" t="inlineStr">
        <is>
          <t>PLANNED</t>
        </is>
      </c>
      <c r="H12" s="16" t="inlineStr"/>
    </row>
    <row r="13">
      <c r="A13" s="16" t="inlineStr">
        <is>
          <t>COV-011</t>
        </is>
      </c>
      <c r="B13" s="16" t="inlineStr">
        <is>
          <t>AXI_RRESP</t>
        </is>
      </c>
      <c r="C13" s="16" t="inlineStr">
        <is>
          <t>Both OKAY (2'b00) and SLVERR (2'b10) response codes on read channel. SLVERR via undefined offset 0x30 per NOTE-005.</t>
        </is>
      </c>
      <c r="D13" s="16" t="inlineStr">
        <is>
          <t>AXI read from valid register offset (OKAY expected) and from undefined offset 0x30 (SLVERR expected); capture RRESP each time.</t>
        </is>
      </c>
      <c r="E13" s="16" t="inlineStr">
        <is>
          <t>Valid offset RRESP=OKAY, undefined offset 0x30 RRESP=SLVERR</t>
        </is>
      </c>
      <c r="F13" s="16" t="inlineStr">
        <is>
          <t>UART-IF-007, UART-IF-009, UART-REG-001</t>
        </is>
      </c>
      <c r="G13" s="16" t="inlineStr">
        <is>
          <t>PLANNED</t>
        </is>
      </c>
      <c r="H13" s="16" t="inlineStr"/>
    </row>
    <row r="14">
      <c r="A14" s="16" t="inlineStr">
        <is>
          <t>COV-012</t>
        </is>
      </c>
      <c r="B14" s="16" t="inlineStr">
        <is>
          <t>AXI_WRITE_ORDER</t>
        </is>
      </c>
      <c r="C14" s="16" t="inlineStr">
        <is>
          <t>Both AWVALID-first and WVALID-first AXI write orderings exercised. Many AXI-Lite slave implementations incorrectly assume AWVALID first.</t>
        </is>
      </c>
      <c r="D14" s="16" t="inlineStr">
        <is>
          <t>Issue AXI write with AWVALID first then WVALID, then repeat with WVALID first then AWVALID; verify correct response in both orderings.</t>
        </is>
      </c>
      <c r="E14" s="16" t="inlineStr">
        <is>
          <t>AWVALID_FIRST ordering, WVALID_FIRST ordering</t>
        </is>
      </c>
      <c r="F14" s="16" t="inlineStr">
        <is>
          <t>UART-IF-005, UART-VER-006</t>
        </is>
      </c>
      <c r="G14" s="16" t="inlineStr">
        <is>
          <t>PLANNED</t>
        </is>
      </c>
      <c r="H14" s="16" t="inlineStr"/>
    </row>
    <row r="15">
      <c r="A15" s="16" t="inlineStr">
        <is>
          <t>COV-013</t>
        </is>
      </c>
      <c r="B15" s="16" t="inlineStr">
        <is>
          <t>BAUD_TUNING_WRITE_WHILE_ENABLED</t>
        </is>
      </c>
      <c r="C15" s="16" t="inlineStr">
        <is>
          <t>Write to BAUD_TUNING while UART_EN=1. Verifies silent-ignore behavior. Gap demo coverage point — closes when UART-BR-004 added to .req [confirmed].</t>
        </is>
      </c>
      <c r="D15" s="16" t="inlineStr">
        <is>
          <t>Assert UART_EN, write a new value to BAUD_TUNING, read back and verify original value unchanged; confirms silent-ignore while enabled.</t>
        </is>
      </c>
      <c r="E15" s="16" t="inlineStr">
        <is>
          <t>UART_EN=1, write new value, readback must equal original value</t>
        </is>
      </c>
      <c r="F15" s="16" t="inlineStr">
        <is>
          <t>UART-REG-028, UART-VER-007</t>
        </is>
      </c>
      <c r="G15" s="16" t="inlineStr">
        <is>
          <t>PLANNED</t>
        </is>
      </c>
      <c r="H15" s="16" t="inlineStr">
        <is>
          <t>Gap demo item — intentionally absent from initial .req cross-references</t>
        </is>
      </c>
    </row>
    <row r="16">
      <c r="A16" s="16" t="inlineStr">
        <is>
          <t>COV-014</t>
        </is>
      </c>
      <c r="B16" s="16" t="inlineStr">
        <is>
          <t>SCRATCH</t>
        </is>
      </c>
      <c r="C16" s="16" t="inlineStr">
        <is>
          <t>Walking-ones pattern plus all-zeros and all-ones written and read back. First test in every sequence per NOTE-006.</t>
        </is>
      </c>
      <c r="D16" s="16" t="inlineStr">
        <is>
          <t>Write walking-ones (0x00000001 through 0x80000000), all-ones (0xFFFFFFFF), and all-zeros (0x00000000) to SCRATCH; read back and verify each value.</t>
        </is>
      </c>
      <c r="E16" s="16" t="inlineStr">
        <is>
          <t>0x00000001..0x80000000 (walking ones), 0x000000FF, 0xFFFFFFFF (all-ones), 0x00000000 (all-zeros)</t>
        </is>
      </c>
      <c r="F16" s="16" t="inlineStr">
        <is>
          <t>UART-REG-044, UART-REG-045, UART-REG-046, UART-VER-003</t>
        </is>
      </c>
      <c r="G16" s="16" t="inlineStr">
        <is>
          <t>PLANNED</t>
        </is>
      </c>
      <c r="H16" s="16" t="inlineStr">
        <is>
          <t>First test in all sequences per NOTE-006</t>
        </is>
      </c>
    </row>
    <row r="17">
      <c r="A17" s="16" t="inlineStr">
        <is>
          <t>COV-015</t>
        </is>
      </c>
      <c r="B17" s="16" t="inlineStr">
        <is>
          <t>RESET_VALUES</t>
        </is>
      </c>
      <c r="C17" s="16" t="inlineStr">
        <is>
          <t>All 12 registers read after reset deassertion and compared to spec-defined reset values from Table 8-x.</t>
        </is>
      </c>
      <c r="D17" s="16" t="inlineStr">
        <is>
          <t>Assert then deassert reset; read all 12 registers and compare each field to the reset value specified in Table 8-x.</t>
        </is>
      </c>
      <c r="E17" s="16" t="inlineStr">
        <is>
          <t>12 register reset values per spec Table 8-x</t>
        </is>
      </c>
      <c r="F17" s="16" t="inlineStr">
        <is>
          <t>UART-RST-001, UART-RST-002, UART-RST-003, UART-RST-004, UART-RST-005, UART-RST-006, UART-REG-004, UART-REG-013, UART-REG-031, UART-REG-036, UART-REG-046, UART-PAR-007, UART-PAR-008, UART-VER-002</t>
        </is>
      </c>
      <c r="G17" s="16" t="inlineStr">
        <is>
          <t>PLANNED</t>
        </is>
      </c>
      <c r="H17" s="16" t="inlineStr"/>
    </row>
    <row r="18">
      <c r="A18" s="16" t="inlineStr">
        <is>
          <t>COV-016</t>
        </is>
      </c>
      <c r="B18" s="16" t="inlineStr">
        <is>
          <t>UART_EN_CONTROL</t>
        </is>
      </c>
      <c r="C18" s="16" t="inlineStr">
        <is>
          <t>UART_EN, TX_EN, RX_EN, LOOP_EN control bit combinations verifying independent TX/RX path gating and loopback mode.</t>
        </is>
      </c>
      <c r="D18" s="16" t="inlineStr">
        <is>
          <t>Deassert UART_EN and verify TX/RX halt; then independently gate TX_EN and RX_EN with UART_EN=1 to verify path isolation; set LOOP_EN and verify loopback active.</t>
        </is>
      </c>
      <c r="E18" s="16" t="inlineStr">
        <is>
          <t>UART_EN=0 (halt), TX_EN=0 (TX off/RX active), RX_EN=0 (RX off/TX active), LOOP_EN=1 with UART_EN=1</t>
        </is>
      </c>
      <c r="F18" s="16" t="inlineStr">
        <is>
          <t>UART-EN-001, UART-EN-002, UART-EN-003, UART-EN-004, UART-EN-005, UART-EN-006, UART-REG-005, UART-REG-006, UART-REG-007, UART-REG-008</t>
        </is>
      </c>
      <c r="G18" s="16" t="inlineStr">
        <is>
          <t>PLANNED</t>
        </is>
      </c>
      <c r="H18" s="16" t="inlineStr"/>
    </row>
    <row r="19">
      <c r="A19" s="16" t="inlineStr">
        <is>
          <t>COV-017</t>
        </is>
      </c>
      <c r="B19" s="16" t="inlineStr">
        <is>
          <t>FRAME_STRUCTURAL</t>
        </is>
      </c>
      <c r="C19" s="16" t="inlineStr">
        <is>
          <t>Structural verification: 8-bit data frames, G_FIFO_DEPTH FIFO depth, 32-bit AXI data width, single-beat AXI transactions only.</t>
        </is>
      </c>
      <c r="D19" s="16" t="inlineStr">
        <is>
          <t>Structural inspection: verify 8-bit data frames transmitted and received, AXI data width=32, address width sufficient, single-beat transactions only.</t>
        </is>
      </c>
      <c r="E19" s="16" t="inlineStr">
        <is>
          <t>8-bit frames; FIFO depth=G_FIFO_DEPTH; AXI data width=32; no burst transactions</t>
        </is>
      </c>
      <c r="F19" s="16" t="inlineStr">
        <is>
          <t>UART-FF-001, UART-FIFO-001, UART-IF-001, UART-IF-002, UART-IF-003, UART-IF-004, UART-IF-012, UART-IF-013, UART-IF-014, UART-PAR-001, UART-PAR-002, UART-PAR-009, UART-REG-032, UART-REG-033, UART-REG-034</t>
        </is>
      </c>
      <c r="G19" s="16" t="inlineStr">
        <is>
          <t>PLANNED</t>
        </is>
      </c>
      <c r="H19" s="16" t="inlineStr"/>
    </row>
    <row r="20">
      <c r="A20" s="16" t="inlineStr">
        <is>
          <t>COV-018</t>
        </is>
      </c>
      <c r="B20" s="16" t="inlineStr">
        <is>
          <t>READONLY_IGNORE</t>
        </is>
      </c>
      <c r="C20" s="16" t="inlineStr">
        <is>
          <t>Write to each read-only register; read back and verify state unchanged. Covers STATUS, FIFO_STATUS, INT_STATUS, INT_CLEAR, TX_DATA reads, RX_DATA writes.</t>
        </is>
      </c>
      <c r="D20" s="16" t="inlineStr">
        <is>
          <t>Write to each read-only register (STATUS, FIFO_STATUS, INT_STATUS, INT_CLEAR, TX_DATA reads, RX_DATA writes); read back and verify state unchanged.</t>
        </is>
      </c>
      <c r="E20" s="16" t="inlineStr">
        <is>
          <t>Write all-ones to each RO register; compare pre- and post-write readback for each</t>
        </is>
      </c>
      <c r="F20" s="16" t="inlineStr">
        <is>
          <t>UART-IF-010, UART-IF-011, UART-REG-002, UART-REG-003, UART-REG-011, UART-REG-012, UART-REG-025, UART-REG-038, UART-REG-042, UART-REG-049, UART-REG-052</t>
        </is>
      </c>
      <c r="G20" s="16" t="inlineStr">
        <is>
          <t>PLANNED</t>
        </is>
      </c>
      <c r="H20" s="16" t="inlineStr"/>
    </row>
    <row r="21">
      <c r="A21" s="16" t="inlineStr">
        <is>
          <t>COV-019</t>
        </is>
      </c>
      <c r="B21" s="16" t="inlineStr">
        <is>
          <t>INT_THRESH_FRAME</t>
        </is>
      </c>
      <c r="C21" s="16" t="inlineStr">
        <is>
          <t>TX/RX threshold interrupts, FRAME_ERR, and TIMEOUT interrupt enable gate exercised via directed stimulus targeting INT_ENABLE masking and INT_STATUS bit positions.</t>
        </is>
      </c>
      <c r="D21" s="16" t="inlineStr">
        <is>
          <t>Drive TX_THRESH and RX_THRESH interrupt conditions, inject FRAME_ERR via stop-bit corruption, enable TIMEOUT interrupt; verify each INT_STATUS bit controlled by INT_ENABLE gate.</t>
        </is>
      </c>
      <c r="E21" s="16" t="inlineStr">
        <is>
          <t>TX FIFO below TX_THRESH; RX FIFO above RX_THRESH; stop-bit corruption for FRAME_ERR; TIMEOUT with INT_ENABLE gates</t>
        </is>
      </c>
      <c r="F21" s="16" t="inlineStr">
        <is>
          <t>UART-INT-009, UART-INT-010, UART-INT-011, UART-INT-012, UART-INT-013, UART-TO-007, UART-REG-015, UART-REG-020, UART-REG-021, UART-REG-022, UART-REG-023, UART-REG-029, UART-REG-030, UART-REG-037, UART-REG-039, UART-REG-040, UART-REG-041, UART-REG-043, UART-REG-047, UART-REG-048, UART-REG-050, UART-REG-051</t>
        </is>
      </c>
      <c r="G21" s="16" t="inlineStr">
        <is>
          <t>PLANNED</t>
        </is>
      </c>
      <c r="H21" s="16" t="inlineStr"/>
    </row>
    <row r="22"/>
    <row r="23"/>
    <row r="24"/>
    <row r="25"/>
  </sheetData>
  <mergeCells count="1">
    <mergeCell ref="A1:H1"/>
  </mergeCells>
  <dataValidations count="1">
    <dataValidation sqref="G3:G500" showDropDown="0" showInputMessage="1" showErrorMessage="1" allowBlank="1" errorTitle="Invalid value" error="Choose from the list." promptTitle="COV Status" prompt="PLANNED / IMPLEMENTED / PASSING / FAILING" type="list">
      <formula1>"PLANNED,IMPLEMENTED,PASSING,FAILING"</formula1>
    </dataValidation>
  </dataValidations>
  <pageMargins left="0.75" right="0.75" top="1" bottom="1" header="0.5" footer="0.5"/>
</worksheet>
</file>

<file path=xl/worksheets/sheet3.xml><?xml version="1.0" encoding="utf-8"?>
<worksheet xmlns="http://schemas.openxmlformats.org/spreadsheetml/2006/main">
  <sheetPr>
    <tabColor rgb="007F6000"/>
    <outlinePr summaryBelow="1" summaryRight="1"/>
    <pageSetUpPr/>
  </sheetPr>
  <dimension ref="A1:D12"/>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5" customWidth="1" min="2" max="2"/>
    <col width="70" customWidth="1" min="3" max="3"/>
    <col width="30" customWidth="1" min="4" max="4"/>
  </cols>
  <sheetData>
    <row r="1" ht="18" customHeight="1">
      <c r="A1" s="10" t="inlineStr">
        <is>
          <t>STRATEGY NOTES — verification engineering decisions not captured in individual COV rows</t>
        </is>
      </c>
    </row>
    <row r="2" ht="28" customHeight="1">
      <c r="A2" s="7" t="inlineStr">
        <is>
          <t>ID</t>
        </is>
      </c>
      <c r="B2" s="7" t="inlineStr">
        <is>
          <t>Topic</t>
        </is>
      </c>
      <c r="C2" s="7" t="inlineStr">
        <is>
          <t>Note</t>
        </is>
      </c>
      <c r="D2" s="7" t="inlineStr">
        <is>
          <t>Applies_To</t>
        </is>
      </c>
    </row>
    <row r="3">
      <c r="A3" s="16" t="inlineStr">
        <is>
          <t>NOTE-001</t>
        </is>
      </c>
      <c r="B3" s="16" t="inlineStr">
        <is>
          <t>Primary Stimulus Method</t>
        </is>
      </c>
      <c r="C3" s="16" t="inlineStr">
        <is>
          <t>Loopback mode (LOOP_EN) is the primary stimulus strategy for all frame format and parity coverage goals. External UART stimulus is not used in the initial verification pass.</t>
        </is>
      </c>
      <c r="D3" s="16" t="inlineStr">
        <is>
          <t>COV-002, COV-003, COV-004, COV-005</t>
        </is>
      </c>
    </row>
    <row r="4">
      <c r="A4" s="16" t="inlineStr">
        <is>
          <t>NOTE-002</t>
        </is>
      </c>
      <c r="B4" s="16" t="inlineStr">
        <is>
          <t>NCO Verification</t>
        </is>
      </c>
      <c r="C4" s="16" t="inlineStr">
        <is>
          <t>The NCO baud rate generator is verified indirectly via loopback frame integrity at each COV-001 tuning word. Direct accumulator state observation is not required by any requirement.</t>
        </is>
      </c>
      <c r="D4" s="16" t="inlineStr">
        <is>
          <t>COV-001</t>
        </is>
      </c>
    </row>
    <row r="5">
      <c r="A5" s="16" t="inlineStr">
        <is>
          <t>NOTE-003</t>
        </is>
      </c>
      <c r="B5" s="16" t="inlineStr">
        <is>
          <t>FIFO Threshold Expressions</t>
        </is>
      </c>
      <c r="C5" s="16" t="inlineStr">
        <is>
          <t>FIFO threshold coverage goals COV-004 and COV-005 use relative expressions (RX_THRESH +/- 1) rather than absolute values so they remain valid across all G_FIFO_DEPTH instantiations without test modification.</t>
        </is>
      </c>
      <c r="D5" s="16" t="inlineStr">
        <is>
          <t>COV-004, COV-005</t>
        </is>
      </c>
    </row>
    <row r="6">
      <c r="A6" s="16" t="inlineStr">
        <is>
          <t>NOTE-004</t>
        </is>
      </c>
      <c r="B6" s="16" t="inlineStr">
        <is>
          <t>Interrupt Verification Order</t>
        </is>
      </c>
      <c r="C6" s="16" t="inlineStr">
        <is>
          <t>Interrupt model verification prioritizes isolation first (COV-007 each_bit_independently) then co-occurrence (COV-008, COV-009). A combined all-sources-simultaneously scenario is explicitly not targeted — it adds complexity without additional requirement closure.</t>
        </is>
      </c>
      <c r="D6" s="16" t="inlineStr">
        <is>
          <t>COV-007, COV-008, COV-009</t>
        </is>
      </c>
    </row>
    <row r="7">
      <c r="A7" s="16" t="inlineStr">
        <is>
          <t>NOTE-005</t>
        </is>
      </c>
      <c r="B7" s="16" t="inlineStr">
        <is>
          <t>AXI SLVERR Address</t>
        </is>
      </c>
      <c r="C7" s="16" t="inlineStr">
        <is>
          <t>AXI-Lite SLVERR coverage (COV-010, COV-011) is achieved by accessing offset 0x30 which is the first undefined address above the register map.</t>
        </is>
      </c>
      <c r="D7" s="16" t="inlineStr">
        <is>
          <t>COV-010, COV-011</t>
        </is>
      </c>
    </row>
    <row r="8">
      <c r="A8" s="16" t="inlineStr">
        <is>
          <t>NOTE-006</t>
        </is>
      </c>
      <c r="B8" s="16" t="inlineStr">
        <is>
          <t>SCRATCH Test Ordering</t>
        </is>
      </c>
      <c r="C8" s="16" t="inlineStr">
        <is>
          <t>The SCRATCH register walking-ones test (COV-014) is always the first test sequence executed before any functional register access, establishing AXI-Lite connectivity as a precondition for all subsequent tests.</t>
        </is>
      </c>
      <c r="D8" s="16" t="inlineStr">
        <is>
          <t>COV-014</t>
        </is>
      </c>
    </row>
    <row r="9">
      <c r="A9" s="16" t="inlineStr">
        <is>
          <t>NOTE-007</t>
        </is>
      </c>
      <c r="B9" s="16" t="inlineStr">
        <is>
          <t>Gap Demo Requirement</t>
        </is>
      </c>
      <c r="C9" s="16" t="inlineStr">
        <is>
          <t>UART-BR-004 is intentionally absent from the [confirmed] section of the .req file in the initial demonstration. This produces a Direction A ERROR in the gap report. Closing the gap by adding the [CONFIRMED] disposition to the .req file is the live demonstration of pssgen traceability. Do not add UART-BR-004 here until after the demo.</t>
        </is>
      </c>
      <c r="D9" s="16" t="inlineStr">
        <is>
          <t>UART-BR-004, COV-013</t>
        </is>
      </c>
    </row>
    <row r="10"/>
    <row r="11"/>
    <row r="12"/>
  </sheetData>
  <mergeCells count="1">
    <mergeCell ref="A1:D1"/>
  </mergeCells>
  <pageMargins left="0.75" right="0.75" top="1" bottom="1" header="0.5" footer="0.5"/>
</worksheet>
</file>

<file path=xl/worksheets/sheet4.xml><?xml version="1.0" encoding="utf-8"?>
<worksheet xmlns="http://schemas.openxmlformats.org/spreadsheetml/2006/main">
  <sheetPr>
    <tabColor rgb="00843C0C"/>
    <outlinePr summaryBelow="1" summaryRight="1"/>
    <pageSetUpPr/>
  </sheetPr>
  <dimension ref="A1:H20"/>
  <sheetViews>
    <sheetView workbookViewId="0">
      <selection activeCell="A1" sqref="A1"/>
    </sheetView>
  </sheetViews>
  <sheetFormatPr baseColWidth="8" defaultRowHeight="15"/>
  <cols>
    <col width="12" customWidth="1" min="1" max="1"/>
    <col width="8" customWidth="1" min="2" max="2"/>
    <col width="10" customWidth="1" min="3" max="3"/>
    <col width="10" customWidth="1" min="4" max="4"/>
    <col width="10" customWidth="1" min="5" max="5"/>
    <col width="10" customWidth="1" min="6" max="6"/>
    <col width="8" customWidth="1" min="7" max="7"/>
    <col width="14" customWidth="1" min="8" max="8"/>
  </cols>
  <sheetData>
    <row r="1" ht="24" customHeight="1">
      <c r="A1" s="11" t="inlineStr">
        <is>
          <t>VERIFICATION SUMMARY — computed from VPR tab</t>
        </is>
      </c>
    </row>
    <row r="2" ht="28" customHeight="1">
      <c r="A2" s="18" t="inlineStr">
        <is>
          <t>Family</t>
        </is>
      </c>
      <c r="B2" s="18" t="inlineStr">
        <is>
          <t>Total</t>
        </is>
      </c>
      <c r="C2" s="18" t="inlineStr">
        <is>
          <t>Covered</t>
        </is>
      </c>
      <c r="D2" s="18" t="inlineStr">
        <is>
          <t>Waived</t>
        </is>
      </c>
      <c r="E2" s="18" t="inlineStr">
        <is>
          <t>Gap</t>
        </is>
      </c>
      <c r="F2" s="18" t="inlineStr">
        <is>
          <t>% Complete</t>
        </is>
      </c>
      <c r="G2" s="7" t="inlineStr">
        <is>
          <t>Gap</t>
        </is>
      </c>
      <c r="H2" s="7" t="inlineStr">
        <is>
          <t>% Complete</t>
        </is>
      </c>
    </row>
    <row r="3" ht="22" customHeight="1">
      <c r="A3" s="19" t="inlineStr">
        <is>
          <t>PAR</t>
        </is>
      </c>
      <c r="B3" s="20">
        <f>COUNTIF(VPR!B4:B144,"PAR")</f>
        <v/>
      </c>
      <c r="C3" s="20">
        <f>COUNTIFS(VPR!B4:B144,"PAR",VPR!X4:X144,"&lt;&gt;OPEN",VPR!X4:X144,"&lt;&gt;WAIVED")</f>
        <v/>
      </c>
      <c r="D3" s="20">
        <f>COUNTIFS(VPR!B4:B144,"PAR",VPR!K4:K144,"WAIVED")</f>
        <v/>
      </c>
      <c r="E3" s="20">
        <f>B3-C3-D3</f>
        <v/>
      </c>
      <c r="F3" s="21">
        <f>IFERROR((C3+D3)/B3,0)</f>
        <v/>
      </c>
      <c r="G3" s="13" t="n"/>
      <c r="H3" s="13" t="n"/>
    </row>
    <row r="4">
      <c r="A4" s="22" t="inlineStr">
        <is>
          <t>IF</t>
        </is>
      </c>
      <c r="B4" s="22">
        <f>COUNTIF(VPR!B4:B144,"IF")</f>
        <v/>
      </c>
      <c r="C4" s="22">
        <f>COUNTIFS(VPR!B4:B144,"IF",VPR!X4:X144,"&lt;&gt;OPEN",VPR!X4:X144,"&lt;&gt;WAIVED")</f>
        <v/>
      </c>
      <c r="D4" s="22">
        <f>COUNTIFS(VPR!B4:B144,"IF",VPR!K4:K144,"WAIVED")</f>
        <v/>
      </c>
      <c r="E4" s="22">
        <f>B4-C4-D4</f>
        <v/>
      </c>
      <c r="F4" s="23">
        <f>IFERROR((C4+D4)/B4,0)</f>
        <v/>
      </c>
    </row>
    <row r="5">
      <c r="A5" s="22" t="inlineStr">
        <is>
          <t>EN</t>
        </is>
      </c>
      <c r="B5" s="22">
        <f>COUNTIF(VPR!B4:B144,"EN")</f>
        <v/>
      </c>
      <c r="C5" s="22">
        <f>COUNTIFS(VPR!B4:B144,"EN",VPR!X4:X144,"&lt;&gt;OPEN",VPR!X4:X144,"&lt;&gt;WAIVED")</f>
        <v/>
      </c>
      <c r="D5" s="22">
        <f>COUNTIFS(VPR!B4:B144,"EN",VPR!K4:K144,"WAIVED")</f>
        <v/>
      </c>
      <c r="E5" s="22">
        <f>B5-C5-D5</f>
        <v/>
      </c>
      <c r="F5" s="23">
        <f>IFERROR((C5+D5)/B5,0)</f>
        <v/>
      </c>
    </row>
    <row r="6">
      <c r="A6" s="22" t="inlineStr">
        <is>
          <t>BR</t>
        </is>
      </c>
      <c r="B6" s="22">
        <f>COUNTIF(VPR!B4:B144,"BR")</f>
        <v/>
      </c>
      <c r="C6" s="22">
        <f>COUNTIFS(VPR!B4:B144,"BR",VPR!X4:X144,"&lt;&gt;OPEN",VPR!X4:X144,"&lt;&gt;WAIVED")</f>
        <v/>
      </c>
      <c r="D6" s="22">
        <f>COUNTIFS(VPR!B4:B144,"BR",VPR!K4:K144,"WAIVED")</f>
        <v/>
      </c>
      <c r="E6" s="22">
        <f>B6-C6-D6</f>
        <v/>
      </c>
      <c r="F6" s="23">
        <f>IFERROR((C6+D6)/B6,0)</f>
        <v/>
      </c>
    </row>
    <row r="7">
      <c r="A7" s="22" t="inlineStr">
        <is>
          <t>FF</t>
        </is>
      </c>
      <c r="B7" s="22">
        <f>COUNTIF(VPR!B4:B144,"FF")</f>
        <v/>
      </c>
      <c r="C7" s="22">
        <f>COUNTIFS(VPR!B4:B144,"FF",VPR!X4:X144,"&lt;&gt;OPEN",VPR!X4:X144,"&lt;&gt;WAIVED")</f>
        <v/>
      </c>
      <c r="D7" s="22">
        <f>COUNTIFS(VPR!B4:B144,"FF",VPR!K4:K144,"WAIVED")</f>
        <v/>
      </c>
      <c r="E7" s="22">
        <f>B7-C7-D7</f>
        <v/>
      </c>
      <c r="F7" s="23">
        <f>IFERROR((C7+D7)/B7,0)</f>
        <v/>
      </c>
    </row>
    <row r="8">
      <c r="A8" s="22" t="inlineStr">
        <is>
          <t>FIFO</t>
        </is>
      </c>
      <c r="B8" s="22">
        <f>COUNTIF(VPR!B4:B144,"FIFO")</f>
        <v/>
      </c>
      <c r="C8" s="22">
        <f>COUNTIFS(VPR!B4:B144,"FIFO",VPR!X4:X144,"&lt;&gt;OPEN",VPR!X4:X144,"&lt;&gt;WAIVED")</f>
        <v/>
      </c>
      <c r="D8" s="22">
        <f>COUNTIFS(VPR!B4:B144,"FIFO",VPR!K4:K144,"WAIVED")</f>
        <v/>
      </c>
      <c r="E8" s="22">
        <f>B8-C8-D8</f>
        <v/>
      </c>
      <c r="F8" s="23">
        <f>IFERROR((C8+D8)/B8,0)</f>
        <v/>
      </c>
    </row>
    <row r="9">
      <c r="A9" s="22" t="inlineStr">
        <is>
          <t>TO</t>
        </is>
      </c>
      <c r="B9" s="22">
        <f>COUNTIF(VPR!B4:B144,"TO")</f>
        <v/>
      </c>
      <c r="C9" s="22">
        <f>COUNTIFS(VPR!B4:B144,"TO",VPR!X4:X144,"&lt;&gt;OPEN",VPR!X4:X144,"&lt;&gt;WAIVED")</f>
        <v/>
      </c>
      <c r="D9" s="22">
        <f>COUNTIFS(VPR!B4:B144,"TO",VPR!K4:K144,"WAIVED")</f>
        <v/>
      </c>
      <c r="E9" s="22">
        <f>B9-C9-D9</f>
        <v/>
      </c>
      <c r="F9" s="23">
        <f>IFERROR((C9+D9)/B9,0)</f>
        <v/>
      </c>
    </row>
    <row r="10">
      <c r="A10" s="22" t="inlineStr">
        <is>
          <t>INT</t>
        </is>
      </c>
      <c r="B10" s="22">
        <f>COUNTIF(VPR!B4:B144,"INT")</f>
        <v/>
      </c>
      <c r="C10" s="22">
        <f>COUNTIFS(VPR!B4:B144,"INT",VPR!X4:X144,"&lt;&gt;OPEN",VPR!X4:X144,"&lt;&gt;WAIVED")</f>
        <v/>
      </c>
      <c r="D10" s="22">
        <f>COUNTIFS(VPR!B4:B144,"INT",VPR!K4:K144,"WAIVED")</f>
        <v/>
      </c>
      <c r="E10" s="22">
        <f>B10-C10-D10</f>
        <v/>
      </c>
      <c r="F10" s="23">
        <f>IFERROR((C10+D10)/B10,0)</f>
        <v/>
      </c>
    </row>
    <row r="11">
      <c r="A11" s="22" t="inlineStr">
        <is>
          <t>REG</t>
        </is>
      </c>
      <c r="B11" s="22">
        <f>COUNTIF(VPR!B4:B144,"REG")</f>
        <v/>
      </c>
      <c r="C11" s="22">
        <f>COUNTIFS(VPR!B4:B144,"REG",VPR!X4:X144,"&lt;&gt;OPEN",VPR!X4:X144,"&lt;&gt;WAIVED")</f>
        <v/>
      </c>
      <c r="D11" s="22">
        <f>COUNTIFS(VPR!B4:B144,"REG",VPR!K4:K144,"WAIVED")</f>
        <v/>
      </c>
      <c r="E11" s="22">
        <f>B11-C11-D11</f>
        <v/>
      </c>
      <c r="F11" s="23">
        <f>IFERROR((C11+D11)/B11,0)</f>
        <v/>
      </c>
    </row>
    <row r="12">
      <c r="A12" s="22" t="inlineStr">
        <is>
          <t>RST</t>
        </is>
      </c>
      <c r="B12" s="22">
        <f>COUNTIF(VPR!B4:B144,"RST")</f>
        <v/>
      </c>
      <c r="C12" s="22">
        <f>COUNTIFS(VPR!B4:B144,"RST",VPR!X4:X144,"&lt;&gt;OPEN",VPR!X4:X144,"&lt;&gt;WAIVED")</f>
        <v/>
      </c>
      <c r="D12" s="22">
        <f>COUNTIFS(VPR!B4:B144,"RST",VPR!K4:K144,"WAIVED")</f>
        <v/>
      </c>
      <c r="E12" s="22">
        <f>B12-C12-D12</f>
        <v/>
      </c>
      <c r="F12" s="23">
        <f>IFERROR((C12+D12)/B12,0)</f>
        <v/>
      </c>
    </row>
    <row r="13">
      <c r="A13" s="22" t="inlineStr">
        <is>
          <t>VER</t>
        </is>
      </c>
      <c r="B13" s="22">
        <f>COUNTIF(VPR!B4:B144,"VER")</f>
        <v/>
      </c>
      <c r="C13" s="22">
        <f>COUNTIFS(VPR!B4:B144,"VER",VPR!X4:X144,"&lt;&gt;OPEN",VPR!X4:X144,"&lt;&gt;WAIVED")</f>
        <v/>
      </c>
      <c r="D13" s="22">
        <f>COUNTIFS(VPR!B4:B144,"VER",VPR!K4:K144,"WAIVED")</f>
        <v/>
      </c>
      <c r="E13" s="22">
        <f>B13-C13-D13</f>
        <v/>
      </c>
      <c r="F13" s="23">
        <f>IFERROR((C13+D13)/B13,0)</f>
        <v/>
      </c>
    </row>
    <row r="14">
      <c r="A14" s="24" t="inlineStr">
        <is>
          <t>TOTAL</t>
        </is>
      </c>
      <c r="B14" s="24">
        <f>SUM(B3:B13)</f>
        <v/>
      </c>
      <c r="C14" s="24">
        <f>SUM(C3:C13)</f>
        <v/>
      </c>
      <c r="D14" s="24">
        <f>SUM(D3:D13)</f>
        <v/>
      </c>
      <c r="E14" s="24">
        <f>SUM(E3:E13)</f>
        <v/>
      </c>
      <c r="F14" s="25">
        <f>IFERROR((C14+D14)/B14,0)</f>
        <v/>
      </c>
    </row>
    <row r="15"/>
    <row r="16"/>
    <row r="17"/>
    <row r="18"/>
    <row r="19"/>
    <row r="20"/>
  </sheetData>
  <mergeCells count="1">
    <mergeCell ref="A1:H1"/>
  </mergeCells>
  <pageMargins left="0.75" right="0.75" top="1" bottom="1" header="0.5" footer="0.5"/>
</worksheet>
</file>

<file path=xl/worksheets/sheet5.xml><?xml version="1.0" encoding="utf-8"?>
<worksheet xmlns="http://schemas.openxmlformats.org/spreadsheetml/2006/main">
  <sheetPr>
    <tabColor rgb="00633122"/>
    <outlinePr summaryBelow="1" summaryRight="1"/>
    <pageSetUpPr/>
  </sheetPr>
  <dimension ref="A1:J2"/>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6" customWidth="1" min="2" max="2"/>
    <col width="10" customWidth="1" min="3" max="3"/>
    <col width="12" customWidth="1" min="4" max="4"/>
    <col width="14" customWidth="1" min="5" max="5"/>
    <col width="50" customWidth="1" min="6" max="6"/>
    <col width="40" customWidth="1" min="7" max="7"/>
    <col width="40" customWidth="1" min="8" max="8"/>
    <col width="14" customWidth="1" min="9" max="9"/>
    <col width="14" customWidth="1" min="10" max="10"/>
  </cols>
  <sheetData>
    <row r="1" ht="18" customHeight="1">
      <c r="A1" s="15" t="inlineStr">
        <is>
          <t>ANOMALIES — defect records referenced by VPR Anomaly_ID</t>
        </is>
      </c>
    </row>
    <row r="2" ht="28" customHeight="1">
      <c r="A2" s="7" t="inlineStr">
        <is>
          <t>Anomaly_ID</t>
        </is>
      </c>
      <c r="B2" s="7" t="inlineStr">
        <is>
          <t>Req_ID</t>
        </is>
      </c>
      <c r="C2" s="7" t="inlineStr">
        <is>
          <t>COV_ID</t>
        </is>
      </c>
      <c r="D2" s="7" t="inlineStr">
        <is>
          <t>Severity</t>
        </is>
      </c>
      <c r="E2" s="7" t="inlineStr">
        <is>
          <t>Status</t>
        </is>
      </c>
      <c r="F2" s="7" t="inlineStr">
        <is>
          <t>Description</t>
        </is>
      </c>
      <c r="G2" s="7" t="inlineStr">
        <is>
          <t>Root_Cause</t>
        </is>
      </c>
      <c r="H2" s="7" t="inlineStr">
        <is>
          <t>Resolution</t>
        </is>
      </c>
      <c r="I2" s="7" t="inlineStr">
        <is>
          <t>Opened_Date</t>
        </is>
      </c>
      <c r="J2" s="7" t="inlineStr">
        <is>
          <t>Closed_Date</t>
        </is>
      </c>
    </row>
  </sheetData>
  <mergeCells count="1">
    <mergeCell ref="A1:J1"/>
  </mergeCells>
  <dataValidations count="2">
    <dataValidation sqref="D3:D500" showDropDown="0" showInputMessage="1" showErrorMessage="1" allowBlank="1" errorTitle="Invalid value" error="Choose from the list." promptTitle="Severity" prompt="CRITICAL / MAJOR / MINOR / OBSERVATION" type="list">
      <formula1>"CRITICAL,MAJOR,MINOR,OBSERVATION"</formula1>
    </dataValidation>
    <dataValidation sqref="E3:E500" showDropDown="0" showInputMessage="1" showErrorMessage="1" allowBlank="1" errorTitle="Invalid value" error="Choose from the list." promptTitle="Status" prompt="OPEN / IN_PROGRESS / RESOLVED / CLOSED" type="list">
      <formula1>"OPEN,IN_PROGRESS,RESOLVED,CLOSED"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2026-04-12T01:35:14Z</dcterms:created>
  <dcterms:modified xmlns:dcterms="http://purl.org/dc/terms/" xmlns:xsi="http://www.w3.org/2001/XMLSchema-instance" xsi:type="dcterms:W3CDTF">2026-04-12T17:53:52Z</dcterms:modified>
</cp:coreProperties>
</file>