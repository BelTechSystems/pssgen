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PR" sheetId="1" state="visible" r:id="rId1"/>
    <sheet xmlns:r="http://schemas.openxmlformats.org/officeDocument/2006/relationships" name="Coverage_Goals" sheetId="2" state="visible" r:id="rId2"/>
    <sheet xmlns:r="http://schemas.openxmlformats.org/officeDocument/2006/relationships" name="Strategy_Not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1F3864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1" fillId="3" borderId="0" pivotButton="0" quotePrefix="0" xfId="0"/>
    <xf numFmtId="0" fontId="5" fillId="8" borderId="0" pivotButton="0" quotePrefix="0" xfId="0"/>
    <xf numFmtId="0" fontId="6" fillId="6" borderId="0" pivotButton="0" quotePrefix="0" xfId="0"/>
    <xf numFmtId="0" fontId="7" fillId="6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5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9">
    <dxf>
      <font>
        <name val="Arial"/>
        <sz val="10"/>
      </font>
      <fill>
        <patternFill patternType="solid">
          <fgColor rgb="00C6EFCE"/>
        </patternFill>
      </fill>
    </dxf>
    <dxf>
      <font>
        <name val="Arial"/>
        <sz val="10"/>
      </font>
      <fill>
        <patternFill patternType="solid">
          <fgColor rgb="00FFEB9C"/>
        </patternFill>
      </fill>
    </dxf>
    <dxf>
      <font>
        <name val="Arial"/>
        <sz val="10"/>
      </font>
      <fill>
        <patternFill patternType="solid">
          <fgColor rgb="00FFC7CE"/>
        </patternFill>
      </fill>
    </dxf>
    <dxf>
      <font>
        <name val="Arial"/>
        <sz val="10"/>
      </font>
      <fill>
        <patternFill patternType="solid">
          <fgColor rgb="00D9D9D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AB40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H3"/>
  <sheetViews>
    <sheetView showGridLine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55" customWidth="1" min="4" max="4"/>
    <col width="18" customWidth="1" min="5" max="5"/>
    <col width="14" customWidth="1" min="6" max="6"/>
    <col width="18" customWidth="1" min="7" max="7"/>
    <col width="18" customWidth="1" min="8" max="8"/>
    <col width="30" customWidth="1" min="9" max="9"/>
    <col width="25" customWidth="1" min="10" max="10"/>
    <col width="14" customWidth="1" min="11" max="11"/>
    <col width="35" customWidth="1" min="12" max="12"/>
    <col width="14" customWidth="1" min="13" max="13"/>
    <col width="20" customWidth="1" min="14" max="14"/>
    <col width="20" customWidth="1" min="15" max="15"/>
    <col width="14" customWidth="1" min="16" max="16"/>
    <col width="12" customWidth="1" min="17" max="17"/>
    <col width="14" customWidth="1" min="18" max="18"/>
    <col width="12" customWidth="1" min="19" max="19"/>
    <col width="35" customWidth="1" min="20" max="20"/>
    <col width="12" customWidth="1" min="21" max="21"/>
    <col width="35" customWidth="1" min="22" max="22"/>
    <col width="14" customWidth="1" min="23" max="23"/>
    <col width="14" customWidth="1" min="24" max="24"/>
    <col width="30" customWidth="1" min="25" max="25"/>
    <col width="18" customWidth="1" min="26" max="26"/>
    <col width="35" customWidth="1" min="27" max="27"/>
    <col width="12" customWidth="1" min="28" max="28"/>
    <col width="20" customWidth="1" min="29" max="29"/>
    <col width="18" customWidth="1" min="30" max="30"/>
  </cols>
  <sheetData>
    <row r="1" ht="18" customHeight="1">
      <c r="A1" s="16" t="inlineStr">
        <is>
          <t>GROUP A — REQUIREMENT IDENTITY  (pssgen import — do not edit)</t>
        </is>
      </c>
      <c r="G1" s="17" t="inlineStr">
        <is>
          <t>GROUP B — VERIFICATION PLANNING  (engineer)</t>
        </is>
      </c>
      <c r="P1" s="18" t="inlineStr">
        <is>
          <t>GROUP C — IMPLEMENTATION  (engineer)</t>
        </is>
      </c>
      <c r="S1" s="19" t="inlineStr">
        <is>
          <t>GROUP D — EXECUTION RESULTS  (pssgen)</t>
        </is>
      </c>
      <c r="AB1" s="20" t="inlineStr">
        <is>
          <t>GROUP E — CLOSURE  (engineer)</t>
        </is>
      </c>
      <c r="AF1" s="21" t="inlineStr">
        <is>
          <t>GROUP F — PROGRAM CONTEXT  (set once per release)</t>
        </is>
      </c>
    </row>
    <row r="2" ht="32" customHeight="1">
      <c r="A2" s="7" t="inlineStr">
        <is>
          <t>Req_ID</t>
        </is>
      </c>
      <c r="B2" s="7" t="inlineStr">
        <is>
          <t>Family</t>
        </is>
      </c>
      <c r="C2" s="7" t="inlineStr">
        <is>
          <t>Type</t>
        </is>
      </c>
      <c r="D2" s="7" t="inlineStr">
        <is>
          <t>Statement</t>
        </is>
      </c>
      <c r="E2" s="7" t="inlineStr">
        <is>
          <t>Source_Doc</t>
        </is>
      </c>
      <c r="F2" s="7" t="inlineStr">
        <is>
          <t>Source_Section</t>
        </is>
      </c>
      <c r="G2" s="7" t="inlineStr">
        <is>
          <t>Verification_Method</t>
        </is>
      </c>
      <c r="H2" s="7" t="inlineStr">
        <is>
          <t>Covered_By</t>
        </is>
      </c>
      <c r="I2" s="7" t="inlineStr">
        <is>
          <t>Stimulus_Strategy</t>
        </is>
      </c>
      <c r="J2" s="7" t="inlineStr">
        <is>
          <t>Boundary_Notes</t>
        </is>
      </c>
      <c r="K2" s="7" t="inlineStr">
        <is>
          <t>Disposition</t>
        </is>
      </c>
      <c r="L2" s="7" t="inlineStr">
        <is>
          <t>Waiver_Rationale</t>
        </is>
      </c>
      <c r="M2" s="7" t="inlineStr">
        <is>
          <t>Risk_Acceptance</t>
        </is>
      </c>
      <c r="N2" s="22" t="inlineStr">
        <is>
          <t>Verification_Category</t>
        </is>
      </c>
      <c r="O2" s="22" t="inlineStr">
        <is>
          <t>Applicability</t>
        </is>
      </c>
      <c r="P2" s="7" t="inlineStr">
        <is>
          <t>Test_Name</t>
        </is>
      </c>
      <c r="Q2" s="7" t="inlineStr">
        <is>
          <t>HDL_Source</t>
        </is>
      </c>
      <c r="R2" s="7" t="inlineStr">
        <is>
          <t>Sim_Mode</t>
        </is>
      </c>
      <c r="S2" s="7" t="inlineStr">
        <is>
          <t>RTL_Status</t>
        </is>
      </c>
      <c r="T2" s="7" t="inlineStr">
        <is>
          <t>RTL_Run_Date</t>
        </is>
      </c>
      <c r="U2" s="7" t="inlineStr">
        <is>
          <t>RTL_Commit</t>
        </is>
      </c>
      <c r="V2" s="7" t="inlineStr">
        <is>
          <t>RTL_Evidence</t>
        </is>
      </c>
      <c r="W2" s="7" t="inlineStr">
        <is>
          <t>Gate_Status</t>
        </is>
      </c>
      <c r="X2" s="7" t="inlineStr">
        <is>
          <t>Gate_Evidence</t>
        </is>
      </c>
      <c r="Y2" s="22" t="inlineStr">
        <is>
          <t>Config_Set</t>
        </is>
      </c>
      <c r="Z2" s="22" t="inlineStr">
        <is>
          <t>Tool_Version</t>
        </is>
      </c>
      <c r="AA2" s="7" t="inlineStr">
        <is>
          <t>Anomaly_ID</t>
        </is>
      </c>
      <c r="AB2" s="7" t="inlineStr">
        <is>
          <t>Overall_Status</t>
        </is>
      </c>
      <c r="AC2" s="7" t="inlineStr">
        <is>
          <t>Closure_Author</t>
        </is>
      </c>
      <c r="AD2" s="7" t="inlineStr">
        <is>
          <t>Closure_Date</t>
        </is>
      </c>
      <c r="AE2" s="7" t="inlineStr">
        <is>
          <t>Closure_Notes</t>
        </is>
      </c>
      <c r="AF2" s="7" t="inlineStr">
        <is>
          <t>IP_Version</t>
        </is>
      </c>
      <c r="AG2" s="7" t="inlineStr">
        <is>
          <t>Target_Device</t>
        </is>
      </c>
      <c r="AH2" s="7" t="inlineStr">
        <is>
          <t>Spec_Revision</t>
        </is>
      </c>
    </row>
    <row r="3" ht="40" customHeight="1">
      <c r="A3" s="8" t="inlineStr">
        <is>
          <t>[BLOCK-FAM-NNN]</t>
        </is>
      </c>
      <c r="B3" s="8" t="inlineStr">
        <is>
          <t>FAM</t>
        </is>
      </c>
      <c r="C3" s="8" t="inlineStr">
        <is>
          <t>functional</t>
        </is>
      </c>
      <c r="D3" s="9" t="inlineStr">
        <is>
          <t>The [block] shall [behavior] when [condition].</t>
        </is>
      </c>
      <c r="E3" s="8" t="inlineStr">
        <is>
          <t>SPEC-RS-001</t>
        </is>
      </c>
      <c r="F3" s="8" t="inlineStr">
        <is>
          <t>§N.N</t>
        </is>
      </c>
      <c r="G3" s="8" t="inlineStr">
        <is>
          <t>test</t>
        </is>
      </c>
      <c r="H3" s="8" t="inlineStr">
        <is>
          <t>COV-NNN</t>
        </is>
      </c>
      <c r="I3" s="9" t="inlineStr">
        <is>
          <t>Describe how the COV item exercises this requirement.</t>
        </is>
      </c>
      <c r="J3" s="9" t="inlineStr">
        <is>
          <t>Corner cases, boundary values.</t>
        </is>
      </c>
      <c r="K3" s="8" t="inlineStr">
        <is>
          <t>GENERATED</t>
        </is>
      </c>
      <c r="L3" s="9" t="inlineStr">
        <is>
          <t>(populate only when WAIVED)</t>
        </is>
      </c>
      <c r="M3" s="8" t="inlineStr">
        <is>
          <t>(populate only when WAIVED)</t>
        </is>
      </c>
      <c r="N3" s="23" t="inlineStr">
        <is>
          <t>Functional</t>
        </is>
      </c>
      <c r="O3" s="23" t="inlineStr">
        <is>
          <t>ALL</t>
        </is>
      </c>
      <c r="P3" s="9" t="inlineStr">
        <is>
          <t>block_feature_test</t>
        </is>
      </c>
      <c r="Q3" s="9" t="inlineStr">
        <is>
          <t>vhdl/block.vhd</t>
        </is>
      </c>
      <c r="R3" s="8" t="inlineStr">
        <is>
          <t>RTL</t>
        </is>
      </c>
      <c r="S3" s="8" t="inlineStr">
        <is>
          <t>NOT_RUN</t>
        </is>
      </c>
      <c r="T3" s="8" t="inlineStr"/>
      <c r="U3" s="8" t="inlineStr"/>
      <c r="V3" s="9" t="inlineStr"/>
      <c r="W3" s="8" t="inlineStr">
        <is>
          <t>NOT_RUN</t>
        </is>
      </c>
      <c r="X3" s="9" t="inlineStr"/>
      <c r="Y3" s="23" t="inlineStr">
        <is>
          <t>G_FIFO_DEPTH=16, G_DEFAULT_BAUD=115200, G_CLK_FREQ_HZ=100000000</t>
        </is>
      </c>
      <c r="Z3" s="23" t="inlineStr">
        <is>
          <t>Vivado 2024.1 / Questa 23.2</t>
        </is>
      </c>
      <c r="AA3" s="8" t="inlineStr"/>
      <c r="AB3" s="24">
        <f>IF(K3="WAIVED","WAIVED",IF(H3="","OPEN",IF(S3="BLOCKED","BLOCKED",IF(S3="FAIL","FAILING",IF(S3="PASS",IF(AA3&lt;&gt;"","AT_RISK",IF(AC3&lt;&gt;"","CLOSED","PASSING")),"COVERED")))))</f>
        <v/>
      </c>
      <c r="AC3" s="8" t="inlineStr"/>
      <c r="AD3" s="8" t="inlineStr"/>
      <c r="AE3" s="9" t="inlineStr"/>
      <c r="AF3" s="8" t="inlineStr">
        <is>
          <t>0.0.0</t>
        </is>
      </c>
      <c r="AG3" s="8" t="inlineStr"/>
      <c r="AH3" s="8" t="inlineStr"/>
    </row>
  </sheetData>
  <mergeCells count="6">
    <mergeCell ref="AF1:AH1"/>
    <mergeCell ref="P1:R1"/>
    <mergeCell ref="G1:O1"/>
    <mergeCell ref="A1:F1"/>
    <mergeCell ref="S1:AA1"/>
    <mergeCell ref="AB1:AE1"/>
  </mergeCells>
  <conditionalFormatting sqref="A4:AH2000">
    <cfRule type="expression" priority="1" dxfId="4" stopIfTrue="0">
      <formula>$AB4="CLOSED"</formula>
    </cfRule>
    <cfRule type="expression" priority="2" dxfId="5" stopIfTrue="0">
      <formula>$AB4="PASSING"</formula>
    </cfRule>
    <cfRule type="expression" priority="3" dxfId="6" stopIfTrue="0">
      <formula>$AB4="AT_RISK"</formula>
    </cfRule>
    <cfRule type="expression" priority="4" dxfId="7" stopIfTrue="0">
      <formula>$AB4="FAILING"</formula>
    </cfRule>
    <cfRule type="expression" priority="5" dxfId="8" stopIfTrue="0">
      <formula>$AB4="WAIVED"</formula>
    </cfRule>
  </conditionalFormatting>
  <dataValidations count="9">
    <dataValidation sqref="C4:C2000" showDropDown="0" showInputMessage="0" showErrorMessage="0" allowBlank="1" type="list">
      <formula1>"functional,structural,parametric,build-time,infrastructure"</formula1>
    </dataValidation>
    <dataValidation sqref="G4:G2000" showDropDown="0" showInputMessage="0" showErrorMessage="0" allowBlank="1" type="list">
      <formula1>"test,inspection,analysis,build-time"</formula1>
    </dataValidation>
    <dataValidation sqref="K4:K2000" showDropDown="0" showInputMessage="0" showErrorMessage="0" allowBlank="1" type="list">
      <formula1>"GENERATED,CONFIRMED,WAIVED"</formula1>
    </dataValidation>
    <dataValidation sqref="M4:M2000" showDropDown="0" showInputMessage="0" showErrorMessage="0" allowBlank="1" type="list">
      <formula1>"LOW,MEDIUM,HIGH"</formula1>
    </dataValidation>
    <dataValidation sqref="N4:N2000" showDropDown="0" showInputMessage="0" showErrorMessage="0" allowBlank="1" type="list">
      <formula1>"Functional,Structural,Protocol_Compliance,Reset,CDC,Error_Handling,Parametric,Infrastructure"</formula1>
    </dataValidation>
    <dataValidation sqref="O4:O2000" showDropDown="0" showInputMessage="0" showErrorMessage="0" allowBlank="1" type="list">
      <formula1>"ALL,PARITY_ENABLED,FIFO_DEPTH_GT_16,CONFIG_SPECIFIC"</formula1>
    </dataValidation>
    <dataValidation sqref="R4:R2000" showDropDown="0" showInputMessage="0" showErrorMessage="0" allowBlank="1" type="list">
      <formula1>"RTL,gate-level,post-layout,HIL"</formula1>
    </dataValidation>
    <dataValidation sqref="S4:S2000" showDropDown="0" showInputMessage="0" showErrorMessage="0" allowBlank="1" type="list">
      <formula1>"PASS,FAIL,NOT_RUN,BLOCKED"</formula1>
    </dataValidation>
    <dataValidation sqref="W4:W2000" showDropDown="0" showInputMessage="0" showErrorMessage="0" allowBlank="1" type="list">
      <formula1>"PASS,FAIL,NOT_RUN"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K2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40" customWidth="1" min="4" max="4"/>
    <col width="45" customWidth="1" min="5" max="5"/>
    <col width="35" customWidth="1" min="6" max="6"/>
    <col width="14" customWidth="1" min="7" max="7"/>
    <col width="18" customWidth="1" min="8" max="8"/>
  </cols>
  <sheetData>
    <row r="1" ht="18" customHeight="1"/>
    <row r="2" ht="28" customHeight="1">
      <c r="A2" s="7" t="inlineStr">
        <is>
          <t>ID</t>
        </is>
      </c>
      <c r="B2" s="7" t="inlineStr">
        <is>
          <t>Name</t>
        </is>
      </c>
      <c r="C2" s="7" t="inlineStr">
        <is>
          <t>Description</t>
        </is>
      </c>
      <c r="D2" s="7" t="inlineStr">
        <is>
          <t>Stimulus_Strategy</t>
        </is>
      </c>
      <c r="E2" s="7" t="inlineStr">
        <is>
          <t>Boundary_Values</t>
        </is>
      </c>
      <c r="F2" s="7" t="inlineStr">
        <is>
          <t>Linked_Requirements</t>
        </is>
      </c>
      <c r="G2" s="7" t="inlineStr">
        <is>
          <t>Status</t>
        </is>
      </c>
      <c r="H2" s="22" t="inlineStr">
        <is>
          <t>Coverage_Type</t>
        </is>
      </c>
      <c r="I2" s="7" t="inlineStr">
        <is>
          <t>Notes</t>
        </is>
      </c>
      <c r="J2" t="inlineStr">
        <is>
          <t>Seq_Status</t>
        </is>
      </c>
      <c r="K2" t="inlineStr">
        <is>
          <t>Stimulus_VSL</t>
        </is>
      </c>
    </row>
    <row r="3">
      <c r="J3" t="inlineStr">
        <is>
          <t>NONE</t>
        </is>
      </c>
      <c r="K3" t="inlineStr"/>
    </row>
    <row r="4">
      <c r="J4" t="inlineStr">
        <is>
          <t>NONE</t>
        </is>
      </c>
      <c r="K4" t="inlineStr"/>
    </row>
    <row r="5">
      <c r="J5" t="inlineStr">
        <is>
          <t>NONE</t>
        </is>
      </c>
      <c r="K5" t="inlineStr"/>
    </row>
    <row r="6">
      <c r="J6" t="inlineStr">
        <is>
          <t>NONE</t>
        </is>
      </c>
      <c r="K6" t="inlineStr"/>
    </row>
    <row r="7">
      <c r="J7" t="inlineStr">
        <is>
          <t>NONE</t>
        </is>
      </c>
      <c r="K7" t="inlineStr"/>
    </row>
    <row r="8">
      <c r="J8" t="inlineStr">
        <is>
          <t>NONE</t>
        </is>
      </c>
      <c r="K8" t="inlineStr"/>
    </row>
    <row r="9">
      <c r="J9" t="inlineStr">
        <is>
          <t>NONE</t>
        </is>
      </c>
      <c r="K9" t="inlineStr"/>
    </row>
    <row r="10">
      <c r="J10" t="inlineStr">
        <is>
          <t>NONE</t>
        </is>
      </c>
      <c r="K10" t="inlineStr"/>
    </row>
    <row r="11">
      <c r="J11" t="inlineStr">
        <is>
          <t>NONE</t>
        </is>
      </c>
      <c r="K11" t="inlineStr"/>
    </row>
    <row r="12">
      <c r="J12" t="inlineStr">
        <is>
          <t>NONE</t>
        </is>
      </c>
      <c r="K12" t="inlineStr"/>
    </row>
    <row r="13">
      <c r="J13" t="inlineStr">
        <is>
          <t>NONE</t>
        </is>
      </c>
      <c r="K13" t="inlineStr"/>
    </row>
    <row r="14">
      <c r="J14" t="inlineStr">
        <is>
          <t>NONE</t>
        </is>
      </c>
      <c r="K14" t="inlineStr"/>
    </row>
    <row r="15">
      <c r="J15" t="inlineStr">
        <is>
          <t>NONE</t>
        </is>
      </c>
      <c r="K15" t="inlineStr"/>
    </row>
    <row r="16">
      <c r="J16" t="inlineStr">
        <is>
          <t>NONE</t>
        </is>
      </c>
      <c r="K16" t="inlineStr"/>
    </row>
    <row r="17">
      <c r="J17" t="inlineStr">
        <is>
          <t>NONE</t>
        </is>
      </c>
      <c r="K17" t="inlineStr"/>
    </row>
    <row r="18">
      <c r="J18" t="inlineStr">
        <is>
          <t>NONE</t>
        </is>
      </c>
      <c r="K18" t="inlineStr"/>
    </row>
    <row r="19">
      <c r="J19" t="inlineStr">
        <is>
          <t>NONE</t>
        </is>
      </c>
      <c r="K19" t="inlineStr"/>
    </row>
    <row r="20">
      <c r="J20" t="inlineStr">
        <is>
          <t>NONE</t>
        </is>
      </c>
      <c r="K20" t="inlineStr"/>
    </row>
    <row r="21">
      <c r="J21" t="inlineStr">
        <is>
          <t>NONE</t>
        </is>
      </c>
      <c r="K21" t="inlineStr"/>
    </row>
  </sheetData>
  <mergeCells count="1">
    <mergeCell ref="A1:I1"/>
  </mergeCells>
  <dataValidations count="2">
    <dataValidation sqref="G3:G500" showDropDown="0" showInputMessage="1" showErrorMessage="1" allowBlank="1" errorTitle="Invalid value" error="Choose from the list." promptTitle="COV Status" prompt="PLANNED / IMPLEMENTED / PASSING / FAILING" type="list">
      <formula1>"PLANNED,IMPLEMENTED,PASSING,FAILING"</formula1>
    </dataValidation>
    <dataValidation sqref="H3:H200" showDropDown="0" showInputMessage="0" showErrorMessage="0" allowBlank="1" type="list">
      <formula1>"Functional,Code,Assertion,Toggle,FSM,Mixed"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6000"/>
    <outlinePr summaryBelow="1" summaryRight="1"/>
    <pageSetUpPr/>
  </sheetPr>
  <dimension ref="A1:D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70" customWidth="1" min="3" max="3"/>
    <col width="30" customWidth="1" min="4" max="4"/>
  </cols>
  <sheetData>
    <row r="1" ht="18" customHeight="1">
      <c r="A1" s="10" t="inlineStr">
        <is>
          <t>STRATEGY NOTES — verification engineering decisions not captured in individual COV rows</t>
        </is>
      </c>
    </row>
    <row r="2" ht="28" customHeight="1">
      <c r="A2" s="7" t="inlineStr">
        <is>
          <t>ID</t>
        </is>
      </c>
      <c r="B2" s="7" t="inlineStr">
        <is>
          <t>Topic</t>
        </is>
      </c>
      <c r="C2" s="7" t="inlineStr">
        <is>
          <t>Note</t>
        </is>
      </c>
      <c r="D2" s="7" t="inlineStr">
        <is>
          <t>Applies_To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14" customWidth="1" min="8" max="8"/>
  </cols>
  <sheetData>
    <row r="1" ht="24" customHeight="1">
      <c r="A1" s="11" t="inlineStr">
        <is>
          <t>VERIFICATION SUMMARY — computed from VPR tab</t>
        </is>
      </c>
    </row>
    <row r="2" ht="28" customHeight="1">
      <c r="A2" s="7" t="inlineStr">
        <is>
          <t>Family</t>
        </is>
      </c>
      <c r="B2" s="7" t="inlineStr">
        <is>
          <t>Total</t>
        </is>
      </c>
      <c r="C2" s="7" t="inlineStr">
        <is>
          <t>Covered</t>
        </is>
      </c>
      <c r="D2" s="7" t="inlineStr">
        <is>
          <t>Passing</t>
        </is>
      </c>
      <c r="E2" s="7" t="inlineStr">
        <is>
          <t>Closed</t>
        </is>
      </c>
      <c r="F2" s="7" t="inlineStr">
        <is>
          <t>Waived</t>
        </is>
      </c>
      <c r="G2" s="7" t="inlineStr">
        <is>
          <t>Gap</t>
        </is>
      </c>
      <c r="H2" s="7" t="inlineStr">
        <is>
          <t>% Complete</t>
        </is>
      </c>
    </row>
    <row r="3" ht="22" customHeight="1">
      <c r="A3" s="12" t="inlineStr">
        <is>
          <t>ALL</t>
        </is>
      </c>
      <c r="B3" s="13">
        <f>COUNTA(VPR!A4:A2000)</f>
        <v/>
      </c>
      <c r="C3" s="13">
        <f>COUNTA(VPR!A4:A2000)</f>
        <v/>
      </c>
      <c r="D3" s="13">
        <f>COUNTA(VPR!A4:A2000)</f>
        <v/>
      </c>
      <c r="E3" s="13">
        <f>COUNTA(VPR!A4:A2000)</f>
        <v/>
      </c>
      <c r="F3" s="13">
        <f>COUNTA(VPR!A4:A2000)</f>
        <v/>
      </c>
      <c r="G3" s="13">
        <f>COUNTA(VPR!A4:A2000)</f>
        <v/>
      </c>
      <c r="H3" s="13">
        <f>COUNTA(VPR!A4:A2000)</f>
        <v/>
      </c>
    </row>
    <row r="5">
      <c r="A5" s="14" t="inlineStr">
        <is>
          <t>This tab is the source for Grafana dashboards.</t>
        </is>
      </c>
    </row>
    <row r="6">
      <c r="A6" s="14" t="inlineStr">
        <is>
          <t>pssgen exports this tab as gap_report.json on each run.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33122"/>
    <outlinePr summaryBelow="1" summaryRight="1"/>
    <pageSetUpPr/>
  </sheetPr>
  <dimension ref="A1:L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4" customWidth="1" min="5" max="5"/>
    <col width="50" customWidth="1" min="6" max="6"/>
    <col width="40" customWidth="1" min="7" max="7"/>
    <col width="40" customWidth="1" min="8" max="8"/>
    <col width="14" customWidth="1" min="9" max="9"/>
    <col width="14" customWidth="1" min="10" max="10"/>
    <col width="18" customWidth="1" min="11" max="11"/>
    <col width="18" customWidth="1" min="12" max="12"/>
  </cols>
  <sheetData>
    <row r="1" ht="18" customHeight="1"/>
    <row r="2" ht="28" customHeight="1">
      <c r="A2" s="7" t="inlineStr">
        <is>
          <t>Anomaly_ID</t>
        </is>
      </c>
      <c r="B2" s="7" t="inlineStr">
        <is>
          <t>Req_ID</t>
        </is>
      </c>
      <c r="C2" s="7" t="inlineStr">
        <is>
          <t>COV_ID</t>
        </is>
      </c>
      <c r="D2" s="7" t="inlineStr">
        <is>
          <t>Severity</t>
        </is>
      </c>
      <c r="E2" s="7" t="inlineStr">
        <is>
          <t>Status</t>
        </is>
      </c>
      <c r="F2" s="7" t="inlineStr">
        <is>
          <t>Description</t>
        </is>
      </c>
      <c r="G2" s="7" t="inlineStr">
        <is>
          <t>Root_Cause</t>
        </is>
      </c>
      <c r="H2" s="7" t="inlineStr">
        <is>
          <t>Resolution</t>
        </is>
      </c>
      <c r="I2" s="7" t="inlineStr">
        <is>
          <t>Opened_Date</t>
        </is>
      </c>
      <c r="J2" s="7" t="inlineStr">
        <is>
          <t>Closed_Date</t>
        </is>
      </c>
      <c r="K2" s="22" t="inlineStr">
        <is>
          <t>Impact</t>
        </is>
      </c>
      <c r="L2" s="22" t="inlineStr">
        <is>
          <t>Regression_Fixed</t>
        </is>
      </c>
    </row>
  </sheetData>
  <mergeCells count="1">
    <mergeCell ref="A1:L1"/>
  </mergeCells>
  <dataValidations count="4">
    <dataValidation sqref="D3:D500" showDropDown="0" showInputMessage="1" showErrorMessage="1" allowBlank="1" errorTitle="Invalid value" error="Choose from the list." promptTitle="Severity" prompt="CRITICAL / MAJOR / MINOR / OBSERVATION" type="list">
      <formula1>"CRITICAL,MAJOR,MINOR,OBSERVATION"</formula1>
    </dataValidation>
    <dataValidation sqref="E3:E500" showDropDown="0" showInputMessage="1" showErrorMessage="1" allowBlank="1" errorTitle="Invalid value" error="Choose from the list." promptTitle="Status" prompt="OPEN / IN_PROGRESS / RESOLVED / CLOSED" type="list">
      <formula1>"OPEN,IN_PROGRESS,RESOLVED,CLOSED"</formula1>
    </dataValidation>
    <dataValidation sqref="K3:K1000" showDropDown="0" showInputMessage="0" showErrorMessage="0" allowBlank="1" type="list">
      <formula1>"Functional,Timing,None"</formula1>
    </dataValidation>
    <dataValidation sqref="L3:L1000" showDropDown="0" showInputMessage="0" showErrorMessage="0" allowBlank="1" type="list">
      <formula1>"YES,NO,PENDING"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2026-04-12T01:35:14Z</dcterms:created>
  <dcterms:modified xmlns:dcterms="http://purl.org/dc/terms/" xmlns:xsi="http://www.w3.org/2001/XMLSchema-instance" xsi:type="dcterms:W3CDTF">2026-04-18T14:08:39Z</dcterms:modified>
</cp:coreProperties>
</file>