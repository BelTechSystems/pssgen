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PR" sheetId="1" state="visible" r:id="rId1"/>
    <sheet xmlns:r="http://schemas.openxmlformats.org/officeDocument/2006/relationships" name="Coverage_Goals" sheetId="2" state="visible" r:id="rId2"/>
    <sheet xmlns:r="http://schemas.openxmlformats.org/officeDocument/2006/relationships" name="Strategy_Notes" sheetId="3" state="visible" r:id="rId3"/>
    <sheet xmlns:r="http://schemas.openxmlformats.org/officeDocument/2006/relationships" name="Summary" sheetId="4" state="visible" r:id="rId4"/>
    <sheet xmlns:r="http://schemas.openxmlformats.org/officeDocument/2006/relationships" name="Anomalies"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0"/>
    </font>
    <font>
      <name val="Arial"/>
      <b val="1"/>
      <color rgb="00FFFFFF"/>
      <sz val="10"/>
    </font>
    <font>
      <name val="Arial"/>
      <i val="1"/>
      <color rgb="00595959"/>
      <sz val="9"/>
    </font>
    <font>
      <name val="Arial"/>
      <b val="1"/>
      <color rgb="001F3864"/>
      <sz val="12"/>
    </font>
    <font>
      <name val="Arial"/>
      <b val="1"/>
      <color rgb="00FFFFFF"/>
      <sz val="12"/>
    </font>
    <font>
      <name val="Arial"/>
      <b val="1"/>
      <sz val="10"/>
    </font>
    <font>
      <name val="Arial"/>
      <sz val="10"/>
    </font>
    <font>
      <name val="Arial"/>
      <sz val="9"/>
    </font>
    <font>
      <name val="Arial"/>
      <b val="1"/>
      <sz val="9"/>
    </font>
  </fonts>
  <fills count="10">
    <fill>
      <patternFill/>
    </fill>
    <fill>
      <patternFill patternType="gray125"/>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2F2"/>
      </patternFill>
    </fill>
    <fill>
      <patternFill patternType="solid">
        <fgColor rgb="00EAD1DC"/>
      </patternFill>
    </fill>
    <fill>
      <patternFill patternType="solid">
        <fgColor rgb="001F3864"/>
      </patternFill>
    </fill>
    <fill>
      <patternFill patternType="solid">
        <fgColor rgb="00F9F9F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xf>
    <xf numFmtId="0" fontId="1" fillId="3" borderId="0" applyAlignment="1" pivotButton="0" quotePrefix="0" xfId="0">
      <alignment horizontal="left" vertical="center"/>
    </xf>
    <xf numFmtId="0" fontId="1" fillId="4" borderId="0" applyAlignment="1" pivotButton="0" quotePrefix="0" xfId="0">
      <alignment horizontal="left" vertical="center"/>
    </xf>
    <xf numFmtId="0" fontId="1" fillId="5" borderId="0" applyAlignment="1" pivotButton="0" quotePrefix="0" xfId="0">
      <alignment horizontal="left" vertical="center"/>
    </xf>
    <xf numFmtId="0" fontId="1" fillId="6" borderId="0" applyAlignment="1" pivotButton="0" quotePrefix="0" xfId="0">
      <alignment horizontal="left" vertical="center"/>
    </xf>
    <xf numFmtId="0" fontId="1" fillId="7" borderId="0" applyAlignment="1" pivotButton="0" quotePrefix="0" xfId="0">
      <alignment horizontal="left" vertical="center"/>
    </xf>
    <xf numFmtId="0" fontId="2"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9" borderId="1" applyAlignment="1" pivotButton="0" quotePrefix="0" xfId="0">
      <alignment horizontal="left" vertical="top" wrapText="1"/>
    </xf>
    <xf numFmtId="0" fontId="1" fillId="3" borderId="0" pivotButton="0" quotePrefix="0" xfId="0"/>
    <xf numFmtId="0" fontId="5" fillId="8" borderId="0" pivotButton="0" quotePrefix="0" xfId="0"/>
    <xf numFmtId="0" fontId="6" fillId="6" borderId="0" pivotButton="0" quotePrefix="0" xfId="0"/>
    <xf numFmtId="0" fontId="7" fillId="6" borderId="0" applyAlignment="1" pivotButton="0" quotePrefix="0" xfId="0">
      <alignment horizontal="center" vertical="center" wrapText="1"/>
    </xf>
    <xf numFmtId="0" fontId="3" fillId="0" borderId="0" pivotButton="0" quotePrefix="0" xfId="0"/>
    <xf numFmtId="0" fontId="1" fillId="5" borderId="0" pivotButton="0" quotePrefix="0" xfId="0"/>
    <xf numFmtId="0" fontId="8" fillId="0" borderId="0" applyAlignment="1" pivotButton="0" quotePrefix="0" xfId="0">
      <alignment horizontal="left" vertical="top" wrapText="1"/>
    </xf>
    <xf numFmtId="0" fontId="8" fillId="0" borderId="0" applyAlignment="1" pivotButton="0" quotePrefix="0" xfId="0">
      <alignment horizontal="center" vertical="top" wrapText="1"/>
    </xf>
    <xf numFmtId="0" fontId="9" fillId="8" borderId="1" applyAlignment="1" pivotButton="0" quotePrefix="0" xfId="0">
      <alignment horizontal="center" vertical="center" wrapText="1"/>
    </xf>
    <xf numFmtId="0" fontId="8" fillId="6" borderId="0" pivotButton="0" quotePrefix="0" xfId="0"/>
    <xf numFmtId="0" fontId="8" fillId="6" borderId="0" applyAlignment="1" pivotButton="0" quotePrefix="0" xfId="0">
      <alignment horizontal="center" vertical="center" wrapText="1"/>
    </xf>
    <xf numFmtId="9" fontId="8" fillId="6" borderId="0" applyAlignment="1" pivotButton="0" quotePrefix="0" xfId="0">
      <alignment horizontal="center" vertical="center" wrapText="1"/>
    </xf>
    <xf numFmtId="0" fontId="8" fillId="0" borderId="0" pivotButton="0" quotePrefix="0" xfId="0"/>
    <xf numFmtId="9" fontId="8" fillId="0" borderId="0" pivotButton="0" quotePrefix="0" xfId="0"/>
    <xf numFmtId="0" fontId="9" fillId="0" borderId="0" pivotButton="0" quotePrefix="0" xfId="0"/>
    <xf numFmtId="9" fontId="9" fillId="0" borderId="0" pivotButton="0" quotePrefix="0" xfId="0"/>
    <xf numFmtId="0" fontId="9"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9" fillId="4" borderId="0" applyAlignment="1" pivotButton="0" quotePrefix="0" xfId="0">
      <alignment horizontal="center" vertical="center" wrapText="1"/>
    </xf>
    <xf numFmtId="0" fontId="9" fillId="5" borderId="0" applyAlignment="1" pivotButton="0" quotePrefix="0" xfId="0">
      <alignment horizontal="center" vertical="center" wrapText="1"/>
    </xf>
    <xf numFmtId="0" fontId="9" fillId="6"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0" borderId="0" applyAlignment="1" pivotButton="0" quotePrefix="0" xfId="0">
      <alignment horizontal="center" vertical="center" wrapText="1"/>
    </xf>
    <xf numFmtId="0" fontId="3" fillId="9" borderId="0" applyAlignment="1" pivotButton="0" quotePrefix="0" xfId="0">
      <alignment horizontal="left" vertical="top" wrapText="1"/>
    </xf>
    <xf numFmtId="0" fontId="3" fillId="9" borderId="1" applyAlignment="1" pivotButton="0" quotePrefix="0" xfId="0">
      <alignment horizontal="center" vertical="top" wrapText="1"/>
    </xf>
  </cellXfs>
  <cellStyles count="1">
    <cellStyle name="Normal" xfId="0" builtinId="0" hidden="0"/>
  </cellStyles>
  <dxfs count="9">
    <dxf>
      <font>
        <name val="Arial"/>
        <sz val="10"/>
      </font>
      <fill>
        <patternFill patternType="solid">
          <fgColor rgb="00C6EFCE"/>
        </patternFill>
      </fill>
    </dxf>
    <dxf>
      <font>
        <name val="Arial"/>
        <sz val="10"/>
      </font>
      <fill>
        <patternFill patternType="solid">
          <fgColor rgb="00FFEB9C"/>
        </patternFill>
      </fill>
    </dxf>
    <dxf>
      <font>
        <name val="Arial"/>
        <sz val="10"/>
      </font>
      <fill>
        <patternFill patternType="solid">
          <fgColor rgb="00FFC7CE"/>
        </patternFill>
      </fill>
    </dxf>
    <dxf>
      <font>
        <name val="Arial"/>
        <sz val="10"/>
      </font>
      <fill>
        <patternFill patternType="solid">
          <fgColor rgb="00D9D9D9"/>
        </patternFill>
      </fill>
    </dxf>
    <dxf>
      <fill>
        <patternFill patternType="solid">
          <fgColor rgb="00C6EFCE"/>
        </patternFill>
      </fill>
    </dxf>
    <dxf>
      <fill>
        <patternFill patternType="solid">
          <fgColor rgb="00FFEB9C"/>
        </patternFill>
      </fill>
    </dxf>
    <dxf>
      <fill>
        <patternFill patternType="solid">
          <fgColor rgb="00FFAB40"/>
        </patternFill>
      </fill>
    </dxf>
    <dxf>
      <fill>
        <patternFill patternType="solid">
          <fgColor rgb="00FFC7CE"/>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AH144"/>
  <sheetViews>
    <sheetView showGridLines="1"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0" customWidth="1" min="2" max="2"/>
    <col width="16" customWidth="1" min="3" max="3"/>
    <col width="55" customWidth="1" min="4" max="4"/>
    <col width="18" customWidth="1" min="5" max="5"/>
    <col width="14" customWidth="1" min="6" max="6"/>
    <col width="18" customWidth="1" min="7" max="7"/>
    <col width="18" customWidth="1" min="8" max="8"/>
    <col width="30" customWidth="1" min="9" max="9"/>
    <col width="25" customWidth="1" min="10" max="10"/>
    <col width="14" customWidth="1" min="11" max="11"/>
    <col width="35" customWidth="1" min="12" max="12"/>
    <col width="14" customWidth="1" min="13" max="13"/>
    <col width="20" customWidth="1" min="14" max="14"/>
    <col width="20" customWidth="1" min="15" max="15"/>
    <col width="14" customWidth="1" min="16" max="16"/>
    <col width="12" customWidth="1" min="17" max="17"/>
    <col width="14" customWidth="1" min="18" max="18"/>
    <col width="12" customWidth="1" min="19" max="19"/>
    <col width="35" customWidth="1" min="20" max="20"/>
    <col width="12" customWidth="1" min="21" max="21"/>
    <col width="35" customWidth="1" min="22" max="22"/>
    <col width="14" customWidth="1" min="23" max="23"/>
    <col width="14" customWidth="1" min="24" max="24"/>
    <col width="30" customWidth="1" min="25" max="25"/>
    <col width="18" customWidth="1" min="26" max="26"/>
    <col width="35" customWidth="1" min="27" max="27"/>
    <col width="12" customWidth="1" min="28" max="28"/>
    <col width="20" customWidth="1" min="29" max="29"/>
    <col width="18" customWidth="1" min="30" max="30"/>
  </cols>
  <sheetData>
    <row r="1" ht="18" customHeight="1">
      <c r="A1" s="26" t="inlineStr">
        <is>
          <t>GROUP A — REQUIREMENT IDENTITY  (pssgen import — do not edit)</t>
        </is>
      </c>
      <c r="G1" s="27" t="inlineStr">
        <is>
          <t>GROUP B — VERIFICATION PLANNING  (engineer)</t>
        </is>
      </c>
      <c r="P1" s="28" t="inlineStr">
        <is>
          <t>GROUP C — IMPLEMENTATION  (engineer)</t>
        </is>
      </c>
      <c r="S1" s="29" t="inlineStr">
        <is>
          <t>GROUP D — EXECUTION RESULTS  (pssgen)</t>
        </is>
      </c>
      <c r="AB1" s="30" t="inlineStr">
        <is>
          <t>GROUP E — CLOSURE  (engineer)</t>
        </is>
      </c>
      <c r="AF1" s="31" t="inlineStr">
        <is>
          <t>GROUP F — PROGRAM CONTEXT  (set once per release)</t>
        </is>
      </c>
    </row>
    <row r="2" ht="32" customHeight="1">
      <c r="A2" s="7" t="inlineStr">
        <is>
          <t>Req_ID</t>
        </is>
      </c>
      <c r="B2" s="7" t="inlineStr">
        <is>
          <t>Family</t>
        </is>
      </c>
      <c r="C2" s="7" t="inlineStr">
        <is>
          <t>Type</t>
        </is>
      </c>
      <c r="D2" s="7" t="inlineStr">
        <is>
          <t>Statement</t>
        </is>
      </c>
      <c r="E2" s="7" t="inlineStr">
        <is>
          <t>Source_Doc</t>
        </is>
      </c>
      <c r="F2" s="7" t="inlineStr">
        <is>
          <t>Source_Section</t>
        </is>
      </c>
      <c r="G2" s="7" t="inlineStr">
        <is>
          <t>Verification_Method</t>
        </is>
      </c>
      <c r="H2" s="7" t="inlineStr">
        <is>
          <t>Covered_By</t>
        </is>
      </c>
      <c r="I2" s="7" t="inlineStr">
        <is>
          <t>Stimulus_Strategy</t>
        </is>
      </c>
      <c r="J2" s="7" t="inlineStr">
        <is>
          <t>Boundary_Notes</t>
        </is>
      </c>
      <c r="K2" s="7" t="inlineStr">
        <is>
          <t>Disposition</t>
        </is>
      </c>
      <c r="L2" s="7" t="inlineStr">
        <is>
          <t>Waiver_Rationale</t>
        </is>
      </c>
      <c r="M2" s="7" t="inlineStr">
        <is>
          <t>Risk_Acceptance</t>
        </is>
      </c>
      <c r="N2" s="32" t="inlineStr">
        <is>
          <t>Verification_Category</t>
        </is>
      </c>
      <c r="O2" s="32" t="inlineStr">
        <is>
          <t>Applicability</t>
        </is>
      </c>
      <c r="P2" s="7" t="inlineStr">
        <is>
          <t>Test_Name</t>
        </is>
      </c>
      <c r="Q2" s="7" t="inlineStr">
        <is>
          <t>HDL_Source</t>
        </is>
      </c>
      <c r="R2" s="7" t="inlineStr">
        <is>
          <t>Sim_Mode</t>
        </is>
      </c>
      <c r="S2" s="7" t="inlineStr">
        <is>
          <t>RTL_Status</t>
        </is>
      </c>
      <c r="T2" s="7" t="inlineStr">
        <is>
          <t>RTL_Run_Date</t>
        </is>
      </c>
      <c r="U2" s="7" t="inlineStr">
        <is>
          <t>RTL_Commit</t>
        </is>
      </c>
      <c r="V2" s="7" t="inlineStr">
        <is>
          <t>RTL_Evidence</t>
        </is>
      </c>
      <c r="W2" s="7" t="inlineStr">
        <is>
          <t>Gate_Status</t>
        </is>
      </c>
      <c r="X2" s="7" t="inlineStr">
        <is>
          <t>Gate_Evidence</t>
        </is>
      </c>
      <c r="Y2" s="32" t="inlineStr">
        <is>
          <t>Config_Set</t>
        </is>
      </c>
      <c r="Z2" s="32" t="inlineStr">
        <is>
          <t>Tool_Version</t>
        </is>
      </c>
      <c r="AA2" s="7" t="inlineStr">
        <is>
          <t>Anomaly_ID</t>
        </is>
      </c>
      <c r="AB2" s="7" t="inlineStr">
        <is>
          <t>Overall_Status</t>
        </is>
      </c>
      <c r="AC2" s="7" t="inlineStr">
        <is>
          <t>Closure_Author</t>
        </is>
      </c>
      <c r="AD2" s="7" t="inlineStr">
        <is>
          <t>Closure_Date</t>
        </is>
      </c>
      <c r="AE2" s="7" t="inlineStr">
        <is>
          <t>Closure_Notes</t>
        </is>
      </c>
      <c r="AF2" s="7" t="inlineStr">
        <is>
          <t>IP_Version</t>
        </is>
      </c>
      <c r="AG2" s="7" t="inlineStr">
        <is>
          <t>Target_Device</t>
        </is>
      </c>
      <c r="AH2" s="7" t="inlineStr">
        <is>
          <t>Spec_Revision</t>
        </is>
      </c>
    </row>
    <row r="3" ht="40" customHeight="1">
      <c r="A3" s="8" t="inlineStr">
        <is>
          <t>[BLOCK-FAM-NNN]</t>
        </is>
      </c>
      <c r="B3" s="8" t="inlineStr">
        <is>
          <t>FAM</t>
        </is>
      </c>
      <c r="C3" s="8" t="inlineStr">
        <is>
          <t>functional</t>
        </is>
      </c>
      <c r="D3" s="9" t="inlineStr">
        <is>
          <t>The [block] shall [behavior] when [condition].</t>
        </is>
      </c>
      <c r="E3" s="8" t="inlineStr">
        <is>
          <t>SPEC-RS-001</t>
        </is>
      </c>
      <c r="F3" s="8" t="inlineStr">
        <is>
          <t>§N.N</t>
        </is>
      </c>
      <c r="G3" s="8" t="inlineStr">
        <is>
          <t>test</t>
        </is>
      </c>
      <c r="H3" s="8" t="inlineStr">
        <is>
          <t>COV-NNN</t>
        </is>
      </c>
      <c r="I3" s="9" t="inlineStr">
        <is>
          <t>Describe how the COV item exercises this requirement.</t>
        </is>
      </c>
      <c r="J3" s="9" t="inlineStr">
        <is>
          <t>Corner cases, boundary values.</t>
        </is>
      </c>
      <c r="K3" s="8" t="inlineStr">
        <is>
          <t>GENERATED</t>
        </is>
      </c>
      <c r="L3" s="9" t="inlineStr">
        <is>
          <t>(populate only when WAIVED)</t>
        </is>
      </c>
      <c r="M3" s="8" t="inlineStr">
        <is>
          <t>(populate only when WAIVED)</t>
        </is>
      </c>
      <c r="N3" s="33" t="inlineStr">
        <is>
          <t>Functional</t>
        </is>
      </c>
      <c r="O3" s="33" t="inlineStr">
        <is>
          <t>ALL</t>
        </is>
      </c>
      <c r="P3" s="9" t="inlineStr">
        <is>
          <t>block_feature_test</t>
        </is>
      </c>
      <c r="Q3" s="9" t="inlineStr">
        <is>
          <t>vhdl/block.vhd</t>
        </is>
      </c>
      <c r="R3" s="8" t="inlineStr">
        <is>
          <t>RTL</t>
        </is>
      </c>
      <c r="S3" s="8" t="inlineStr">
        <is>
          <t>NOT_RUN</t>
        </is>
      </c>
      <c r="T3" s="8" t="inlineStr"/>
      <c r="U3" s="8" t="inlineStr"/>
      <c r="V3" s="9" t="inlineStr"/>
      <c r="W3" s="8" t="inlineStr">
        <is>
          <t>NOT_RUN</t>
        </is>
      </c>
      <c r="X3" s="9" t="inlineStr"/>
      <c r="Y3" s="33" t="inlineStr">
        <is>
          <t>G_FIFO_DEPTH=16, G_DEFAULT_BAUD=115200, G_CLK_FREQ_HZ=100000000</t>
        </is>
      </c>
      <c r="Z3" s="33" t="inlineStr">
        <is>
          <t>Vivado 2024.1 / Questa 23.2</t>
        </is>
      </c>
      <c r="AA3" s="8" t="inlineStr"/>
      <c r="AB3" s="34">
        <f>IF(K3="WAIVED","WAIVED",IF(H3="","OPEN",IF(S3="BLOCKED","BLOCKED",IF(S3="FAIL","FAILING",IF(S3="PASS",IF(AA3&lt;&gt;"","AT_RISK",IF(AC3&lt;&gt;"","CLOSED","PASSING")),"COVERED")))))</f>
        <v/>
      </c>
      <c r="AC3" s="8" t="inlineStr"/>
      <c r="AD3" s="8" t="inlineStr"/>
      <c r="AE3" s="9" t="inlineStr"/>
      <c r="AF3" s="8" t="inlineStr">
        <is>
          <t>0.0.0</t>
        </is>
      </c>
      <c r="AG3" s="8" t="inlineStr"/>
      <c r="AH3" s="8" t="inlineStr"/>
    </row>
    <row r="4">
      <c r="A4" s="16" t="inlineStr">
        <is>
          <t>UART-PAR-001</t>
        </is>
      </c>
      <c r="B4" s="16" t="inlineStr">
        <is>
          <t>PAR</t>
        </is>
      </c>
      <c r="C4" s="16" t="inlineStr">
        <is>
          <t>parametric</t>
        </is>
      </c>
      <c r="D4" s="16" t="inlineStr">
        <is>
          <t>The Buffered AXI-Lite UART shall implement the four compile-time parameters defined in Table 3-2 with the VHDL names G_CLK_FREQ_HZ, G_DEFAULT_BAUD, G_FIFO_DEPTH, and G_TIMEOUT_DEFAULT, and the equivalent SystemVerilog names P_CLK_FREQ_HZ, P_DEFAULT_BAUD, P_FIFO_DEPTH, and P_TIMEOUT_DEFAULT, with the specified types, defaults, and valid ranges.</t>
        </is>
      </c>
      <c r="E4" s="16" t="inlineStr">
        <is>
          <t>BALU-RS-001</t>
        </is>
      </c>
      <c r="F4" s="16" t="inlineStr">
        <is>
          <t>§3.4</t>
        </is>
      </c>
      <c r="G4" s="16" t="inlineStr">
        <is>
          <t>inspection</t>
        </is>
      </c>
      <c r="H4" s="16" t="inlineStr">
        <is>
          <t>COV-017</t>
        </is>
      </c>
      <c r="I4" s="16" t="inlineStr">
        <is>
          <t>Structural inspection: verify 8-bit data frames transmitted and received, AXI data width=32, address width sufficient, single-beat transactions only.</t>
        </is>
      </c>
      <c r="J4" s="16" t="inlineStr"/>
      <c r="K4" s="16" t="inlineStr">
        <is>
          <t>GENERATED</t>
        </is>
      </c>
      <c r="L4" s="16" t="inlineStr"/>
      <c r="M4" s="16" t="inlineStr"/>
      <c r="N4" s="16" t="inlineStr">
        <is>
          <t>Parametric</t>
        </is>
      </c>
      <c r="O4" s="16" t="inlineStr">
        <is>
          <t>ALL</t>
        </is>
      </c>
      <c r="P4" s="16" t="inlineStr"/>
      <c r="Q4" s="16" t="inlineStr">
        <is>
          <t>vhdl/buffered_axi_lite_uart.vhd</t>
        </is>
      </c>
      <c r="R4" s="16" t="inlineStr">
        <is>
          <t>RTL</t>
        </is>
      </c>
      <c r="S4" s="16" t="inlineStr">
        <is>
          <t>NOT_RUN</t>
        </is>
      </c>
      <c r="T4" s="16" t="inlineStr"/>
      <c r="U4" s="16" t="inlineStr"/>
      <c r="V4" s="16" t="inlineStr"/>
      <c r="W4" s="16" t="inlineStr">
        <is>
          <t>NOT_RUN</t>
        </is>
      </c>
      <c r="X4" s="16" t="inlineStr"/>
      <c r="AA4" s="16" t="inlineStr"/>
      <c r="AB4" s="17">
        <f>IF(K4="WAIVED","WAIVED",IF(H4="","OPEN",IF(S4="BLOCKED","BLOCKED",IF(S4="FAIL","FAILING",IF(S4="PASS",IF(AA4&lt;&gt;"","AT_RISK",IF(AC4&lt;&gt;"","CLOSED","PASSING")),"COVERED")))))</f>
        <v/>
      </c>
      <c r="AC4" s="16" t="inlineStr"/>
      <c r="AD4" s="16" t="inlineStr"/>
      <c r="AE4" s="16" t="inlineStr"/>
      <c r="AF4" s="16" t="inlineStr">
        <is>
          <t>1.0.0</t>
        </is>
      </c>
      <c r="AG4" s="16" t="inlineStr">
        <is>
          <t>ZUBoard 1CG / Basys 3</t>
        </is>
      </c>
      <c r="AH4" s="16" t="inlineStr">
        <is>
          <t>BALU-RS-001 Rev 0.4</t>
        </is>
      </c>
    </row>
    <row r="5">
      <c r="A5" s="16" t="inlineStr">
        <is>
          <t>UART-PAR-002</t>
        </is>
      </c>
      <c r="B5" s="16" t="inlineStr">
        <is>
          <t>PAR</t>
        </is>
      </c>
      <c r="C5" s="16" t="inlineStr">
        <is>
          <t>parametric</t>
        </is>
      </c>
      <c r="D5" s="16" t="inlineStr">
        <is>
          <t>The Buffered AXI-Lite UART shall implement the FIFO depth parameter (G_FIFO_DEPTH in VHDL, P_FIFO_DEPTH in SystemVerilog) as a power of 2 in the range 8 to 256 inclusive.</t>
        </is>
      </c>
      <c r="E5" s="16" t="inlineStr">
        <is>
          <t>BALU-RS-001</t>
        </is>
      </c>
      <c r="F5" s="16" t="inlineStr">
        <is>
          <t>§3.4</t>
        </is>
      </c>
      <c r="G5" s="16" t="inlineStr">
        <is>
          <t>analysis</t>
        </is>
      </c>
      <c r="H5" s="16" t="inlineStr">
        <is>
          <t>COV-017</t>
        </is>
      </c>
      <c r="I5" s="16" t="inlineStr">
        <is>
          <t>Structural inspection: verify 8-bit data frames transmitted and received, AXI data width=32, address width sufficient, single-beat transactions only.</t>
        </is>
      </c>
      <c r="J5" s="16" t="inlineStr"/>
      <c r="K5" s="16" t="inlineStr">
        <is>
          <t>GENERATED</t>
        </is>
      </c>
      <c r="L5" s="16" t="inlineStr"/>
      <c r="M5" s="16" t="inlineStr"/>
      <c r="N5" s="16" t="inlineStr">
        <is>
          <t>Parametric</t>
        </is>
      </c>
      <c r="O5" s="16" t="inlineStr">
        <is>
          <t>ALL</t>
        </is>
      </c>
      <c r="P5" s="16" t="inlineStr"/>
      <c r="Q5" s="16" t="inlineStr">
        <is>
          <t>vhdl/buffered_axi_lite_uart.vhd</t>
        </is>
      </c>
      <c r="R5" s="16" t="inlineStr">
        <is>
          <t>RTL</t>
        </is>
      </c>
      <c r="S5" s="16" t="inlineStr">
        <is>
          <t>NOT_RUN</t>
        </is>
      </c>
      <c r="T5" s="16" t="inlineStr"/>
      <c r="U5" s="16" t="inlineStr"/>
      <c r="V5" s="16" t="inlineStr"/>
      <c r="W5" s="16" t="inlineStr">
        <is>
          <t>NOT_RUN</t>
        </is>
      </c>
      <c r="X5" s="16" t="inlineStr"/>
      <c r="AA5" s="16" t="inlineStr"/>
      <c r="AB5" s="17">
        <f>IF(K5="WAIVED","WAIVED",IF(H5="","OPEN",IF(S5="BLOCKED","BLOCKED",IF(S5="FAIL","FAILING",IF(S5="PASS",IF(AA5&lt;&gt;"","AT_RISK",IF(AC5&lt;&gt;"","CLOSED","PASSING")),"COVERED")))))</f>
        <v/>
      </c>
      <c r="AC5" s="16" t="inlineStr"/>
      <c r="AD5" s="16" t="inlineStr"/>
      <c r="AE5" s="16" t="inlineStr"/>
      <c r="AF5" s="16" t="inlineStr">
        <is>
          <t>1.0.0</t>
        </is>
      </c>
      <c r="AG5" s="16" t="inlineStr">
        <is>
          <t>ZUBoard 1CG / Basys 3</t>
        </is>
      </c>
      <c r="AH5" s="16" t="inlineStr">
        <is>
          <t>BALU-RS-001 Rev 0.4</t>
        </is>
      </c>
    </row>
    <row r="6">
      <c r="A6" s="16" t="inlineStr">
        <is>
          <t>UART-PAR-003</t>
        </is>
      </c>
      <c r="B6" s="16" t="inlineStr">
        <is>
          <t>PAR</t>
        </is>
      </c>
      <c r="C6" s="16" t="inlineStr">
        <is>
          <t>build-time</t>
        </is>
      </c>
      <c r="D6" s="16" t="inlineStr">
        <is>
          <t>The Buffered AXI-Lite UART shall produce an elaboration-time assertion failure with a descriptive message identifying the parameter name and violated constraint when any compile-time parameter is instantiated with a value outside its specified range. In VHDL the assertion severity shall be failure. In SystemVerilog $fatal shall be used.</t>
        </is>
      </c>
      <c r="E6" s="16" t="inlineStr">
        <is>
          <t>BALU-RS-001</t>
        </is>
      </c>
      <c r="F6" s="16" t="inlineStr">
        <is>
          <t>§3.4</t>
        </is>
      </c>
      <c r="G6" s="16" t="inlineStr">
        <is>
          <t>test</t>
        </is>
      </c>
      <c r="H6" s="16" t="inlineStr"/>
      <c r="I6" s="16" t="inlineStr"/>
      <c r="J6" s="16" t="inlineStr"/>
      <c r="K6" s="16" t="inlineStr">
        <is>
          <t>WAIVED</t>
        </is>
      </c>
      <c r="L6" s="16" t="inlineStr">
        <is>
          <t>Elaboration-time assertion — $fatal fires before simulation begins. Requires a separate negative build test. Deferred to build-system test phase.</t>
        </is>
      </c>
      <c r="M6" s="16" t="inlineStr">
        <is>
          <t>MEDIUM</t>
        </is>
      </c>
      <c r="N6" s="16" t="inlineStr">
        <is>
          <t>Parametric</t>
        </is>
      </c>
      <c r="O6" s="16" t="inlineStr">
        <is>
          <t>ALL</t>
        </is>
      </c>
      <c r="P6" s="16" t="inlineStr"/>
      <c r="Q6" s="16" t="inlineStr">
        <is>
          <t>vhdl/buffered_axi_lite_uart.vhd</t>
        </is>
      </c>
      <c r="R6" s="16" t="inlineStr">
        <is>
          <t>RTL</t>
        </is>
      </c>
      <c r="S6" s="16" t="inlineStr">
        <is>
          <t>NOT_RUN</t>
        </is>
      </c>
      <c r="T6" s="16" t="inlineStr"/>
      <c r="U6" s="16" t="inlineStr"/>
      <c r="V6" s="16" t="inlineStr"/>
      <c r="W6" s="16" t="inlineStr">
        <is>
          <t>NOT_RUN</t>
        </is>
      </c>
      <c r="X6" s="16" t="inlineStr"/>
      <c r="AA6" s="16" t="inlineStr"/>
      <c r="AB6" s="17">
        <f>IF(K6="WAIVED","WAIVED",IF(H6="","OPEN",IF(S6="BLOCKED","BLOCKED",IF(S6="FAIL","FAILING",IF(S6="PASS",IF(AA6&lt;&gt;"","AT_RISK",IF(AC6&lt;&gt;"","CLOSED","PASSING")),"COVERED")))))</f>
        <v/>
      </c>
      <c r="AC6" s="16" t="inlineStr"/>
      <c r="AD6" s="16" t="inlineStr"/>
      <c r="AE6" s="16" t="inlineStr"/>
      <c r="AF6" s="16" t="inlineStr">
        <is>
          <t>1.0.0</t>
        </is>
      </c>
      <c r="AG6" s="16" t="inlineStr">
        <is>
          <t>ZUBoard 1CG / Basys 3</t>
        </is>
      </c>
      <c r="AH6" s="16" t="inlineStr">
        <is>
          <t>BALU-RS-001 Rev 0.4</t>
        </is>
      </c>
    </row>
    <row r="7">
      <c r="A7" s="16" t="inlineStr">
        <is>
          <t>UART-PAR-004</t>
        </is>
      </c>
      <c r="B7" s="16" t="inlineStr">
        <is>
          <t>PAR</t>
        </is>
      </c>
      <c r="C7" s="16" t="inlineStr">
        <is>
          <t>parametric</t>
        </is>
      </c>
      <c r="D7" s="16" t="inlineStr">
        <is>
          <t>The Buffered AXI-Lite UART shall accept a system clock frequency parameter (G_CLK_FREQ_HZ / P_CLK_FREQ_HZ) in the range 1,000,000 to 1,000,000,000 inclusive specifying the system clock frequency in Hz.</t>
        </is>
      </c>
      <c r="E7" s="16" t="inlineStr">
        <is>
          <t>BALU-RS-001</t>
        </is>
      </c>
      <c r="F7" s="16" t="inlineStr">
        <is>
          <t>§3.4</t>
        </is>
      </c>
      <c r="G7" s="16" t="inlineStr">
        <is>
          <t>analysis</t>
        </is>
      </c>
      <c r="H7" s="16" t="inlineStr">
        <is>
          <t>COV-001</t>
        </is>
      </c>
      <c r="I7" s="16" t="inlineStr">
        <is>
          <t>NCO tuning word sweep at 12 values from minimum (0x00000001) to maximum (0xFFFFFFFF) including all standard baud rates.</t>
        </is>
      </c>
      <c r="J7" s="16" t="inlineStr"/>
      <c r="K7" s="16" t="inlineStr">
        <is>
          <t>GENERATED</t>
        </is>
      </c>
      <c r="L7" s="16" t="inlineStr"/>
      <c r="M7" s="16" t="inlineStr"/>
      <c r="N7" s="16" t="inlineStr">
        <is>
          <t>Parametric</t>
        </is>
      </c>
      <c r="O7" s="16" t="inlineStr">
        <is>
          <t>ALL</t>
        </is>
      </c>
      <c r="P7" s="16" t="inlineStr"/>
      <c r="Q7" s="16" t="inlineStr">
        <is>
          <t>vhdl/buffered_axi_lite_uart.vhd</t>
        </is>
      </c>
      <c r="R7" s="16" t="inlineStr">
        <is>
          <t>RTL</t>
        </is>
      </c>
      <c r="S7" s="16" t="inlineStr">
        <is>
          <t>NOT_RUN</t>
        </is>
      </c>
      <c r="T7" s="16" t="inlineStr"/>
      <c r="U7" s="16" t="inlineStr"/>
      <c r="V7" s="16" t="inlineStr"/>
      <c r="W7" s="16" t="inlineStr">
        <is>
          <t>NOT_RUN</t>
        </is>
      </c>
      <c r="X7" s="16" t="inlineStr"/>
      <c r="AA7" s="16" t="inlineStr"/>
      <c r="AB7" s="17">
        <f>IF(K7="WAIVED","WAIVED",IF(H7="","OPEN",IF(S7="BLOCKED","BLOCKED",IF(S7="FAIL","FAILING",IF(S7="PASS",IF(AA7&lt;&gt;"","AT_RISK",IF(AC7&lt;&gt;"","CLOSED","PASSING")),"COVERED")))))</f>
        <v/>
      </c>
      <c r="AC7" s="16" t="inlineStr"/>
      <c r="AD7" s="16" t="inlineStr"/>
      <c r="AE7" s="16" t="inlineStr"/>
      <c r="AF7" s="16" t="inlineStr">
        <is>
          <t>1.0.0</t>
        </is>
      </c>
      <c r="AG7" s="16" t="inlineStr">
        <is>
          <t>ZUBoard 1CG / Basys 3</t>
        </is>
      </c>
      <c r="AH7" s="16" t="inlineStr">
        <is>
          <t>BALU-RS-001 Rev 0.4</t>
        </is>
      </c>
    </row>
    <row r="8">
      <c r="A8" s="16" t="inlineStr">
        <is>
          <t>UART-PAR-005</t>
        </is>
      </c>
      <c r="B8" s="16" t="inlineStr">
        <is>
          <t>PAR</t>
        </is>
      </c>
      <c r="C8" s="16" t="inlineStr">
        <is>
          <t>parametric</t>
        </is>
      </c>
      <c r="D8" s="16" t="inlineStr">
        <is>
          <t>The Buffered AXI-Lite UART shall accept a default baud rate parameter (G_DEFAULT_BAUD / P_DEFAULT_BAUD) in the range 1 to CLK_FREQ_HZ / 2 inclusive specifying the target baud rate at reset.</t>
        </is>
      </c>
      <c r="E8" s="16" t="inlineStr">
        <is>
          <t>BALU-RS-001</t>
        </is>
      </c>
      <c r="F8" s="16" t="inlineStr">
        <is>
          <t>§3.4</t>
        </is>
      </c>
      <c r="G8" s="16" t="inlineStr">
        <is>
          <t>analysis</t>
        </is>
      </c>
      <c r="H8" s="16" t="inlineStr">
        <is>
          <t>COV-001</t>
        </is>
      </c>
      <c r="I8" s="16" t="inlineStr">
        <is>
          <t>NCO tuning word sweep at 12 values from minimum (0x00000001) to maximum (0xFFFFFFFF) including all standard baud rates.</t>
        </is>
      </c>
      <c r="J8" s="16" t="inlineStr"/>
      <c r="K8" s="16" t="inlineStr">
        <is>
          <t>GENERATED</t>
        </is>
      </c>
      <c r="L8" s="16" t="inlineStr"/>
      <c r="M8" s="16" t="inlineStr"/>
      <c r="N8" s="16" t="inlineStr">
        <is>
          <t>Parametric</t>
        </is>
      </c>
      <c r="O8" s="16" t="inlineStr">
        <is>
          <t>ALL</t>
        </is>
      </c>
      <c r="P8" s="16" t="inlineStr"/>
      <c r="Q8" s="16" t="inlineStr">
        <is>
          <t>vhdl/buffered_axi_lite_uart.vhd</t>
        </is>
      </c>
      <c r="R8" s="16" t="inlineStr">
        <is>
          <t>RTL</t>
        </is>
      </c>
      <c r="S8" s="16" t="inlineStr">
        <is>
          <t>NOT_RUN</t>
        </is>
      </c>
      <c r="T8" s="16" t="inlineStr"/>
      <c r="U8" s="16" t="inlineStr"/>
      <c r="V8" s="16" t="inlineStr"/>
      <c r="W8" s="16" t="inlineStr">
        <is>
          <t>NOT_RUN</t>
        </is>
      </c>
      <c r="X8" s="16" t="inlineStr"/>
      <c r="AA8" s="16" t="inlineStr"/>
      <c r="AB8" s="17">
        <f>IF(K8="WAIVED","WAIVED",IF(H8="","OPEN",IF(S8="BLOCKED","BLOCKED",IF(S8="FAIL","FAILING",IF(S8="PASS",IF(AA8&lt;&gt;"","AT_RISK",IF(AC8&lt;&gt;"","CLOSED","PASSING")),"COVERED")))))</f>
        <v/>
      </c>
      <c r="AC8" s="16" t="inlineStr"/>
      <c r="AD8" s="16" t="inlineStr"/>
      <c r="AE8" s="16" t="inlineStr"/>
      <c r="AF8" s="16" t="inlineStr">
        <is>
          <t>1.0.0</t>
        </is>
      </c>
      <c r="AG8" s="16" t="inlineStr">
        <is>
          <t>ZUBoard 1CG / Basys 3</t>
        </is>
      </c>
      <c r="AH8" s="16" t="inlineStr">
        <is>
          <t>BALU-RS-001 Rev 0.4</t>
        </is>
      </c>
    </row>
    <row r="9">
      <c r="A9" s="16" t="inlineStr">
        <is>
          <t>UART-PAR-006</t>
        </is>
      </c>
      <c r="B9" s="16" t="inlineStr">
        <is>
          <t>PAR</t>
        </is>
      </c>
      <c r="C9" s="16" t="inlineStr">
        <is>
          <t>parametric</t>
        </is>
      </c>
      <c r="D9" s="16" t="inlineStr">
        <is>
          <t>The Buffered AXI-Lite UART shall accept a timeout default parameter (G_TIMEOUT_DEFAULT / P_TIMEOUT_DEFAULT) in the range 0 to 65535 inclusive specifying the TIMEOUT_VAL register reset value in baud clock ticks. A value of 0 disables the receive timeout at reset.</t>
        </is>
      </c>
      <c r="E9" s="16" t="inlineStr">
        <is>
          <t>BALU-RS-001</t>
        </is>
      </c>
      <c r="F9" s="16" t="inlineStr">
        <is>
          <t>§3.4</t>
        </is>
      </c>
      <c r="G9" s="16" t="inlineStr">
        <is>
          <t>analysis</t>
        </is>
      </c>
      <c r="H9" s="16" t="inlineStr">
        <is>
          <t>COV-006</t>
        </is>
      </c>
      <c r="I9" s="16" t="inlineStr">
        <is>
          <t>TIMEOUT_VAL set to 0x0000, 0x0001, G_TIMEOUT_DEFAULT, 0xFFFE, and 0xFFFF; idle receiver until timeout fires for each non-zero value.</t>
        </is>
      </c>
      <c r="J9" s="16" t="inlineStr"/>
      <c r="K9" s="16" t="inlineStr">
        <is>
          <t>GENERATED</t>
        </is>
      </c>
      <c r="L9" s="16" t="inlineStr"/>
      <c r="M9" s="16" t="inlineStr"/>
      <c r="N9" s="16" t="inlineStr">
        <is>
          <t>Parametric</t>
        </is>
      </c>
      <c r="O9" s="16" t="inlineStr">
        <is>
          <t>ALL</t>
        </is>
      </c>
      <c r="P9" s="16" t="inlineStr"/>
      <c r="Q9" s="16" t="inlineStr">
        <is>
          <t>vhdl/buffered_axi_lite_uart.vhd</t>
        </is>
      </c>
      <c r="R9" s="16" t="inlineStr">
        <is>
          <t>RTL</t>
        </is>
      </c>
      <c r="S9" s="16" t="inlineStr">
        <is>
          <t>NOT_RUN</t>
        </is>
      </c>
      <c r="T9" s="16" t="inlineStr"/>
      <c r="U9" s="16" t="inlineStr"/>
      <c r="V9" s="16" t="inlineStr"/>
      <c r="W9" s="16" t="inlineStr">
        <is>
          <t>NOT_RUN</t>
        </is>
      </c>
      <c r="X9" s="16" t="inlineStr"/>
      <c r="AA9" s="16" t="inlineStr"/>
      <c r="AB9" s="17">
        <f>IF(K9="WAIVED","WAIVED",IF(H9="","OPEN",IF(S9="BLOCKED","BLOCKED",IF(S9="FAIL","FAILING",IF(S9="PASS",IF(AA9&lt;&gt;"","AT_RISK",IF(AC9&lt;&gt;"","CLOSED","PASSING")),"COVERED")))))</f>
        <v/>
      </c>
      <c r="AC9" s="16" t="inlineStr"/>
      <c r="AD9" s="16" t="inlineStr"/>
      <c r="AE9" s="16" t="inlineStr"/>
      <c r="AF9" s="16" t="inlineStr">
        <is>
          <t>1.0.0</t>
        </is>
      </c>
      <c r="AG9" s="16" t="inlineStr">
        <is>
          <t>ZUBoard 1CG / Basys 3</t>
        </is>
      </c>
      <c r="AH9" s="16" t="inlineStr">
        <is>
          <t>BALU-RS-001 Rev 0.4</t>
        </is>
      </c>
    </row>
    <row r="10">
      <c r="A10" s="16" t="inlineStr">
        <is>
          <t>UART-PAR-007</t>
        </is>
      </c>
      <c r="B10" s="16" t="inlineStr">
        <is>
          <t>PAR</t>
        </is>
      </c>
      <c r="C10" s="16" t="inlineStr">
        <is>
          <t>parametric</t>
        </is>
      </c>
      <c r="D10" s="16" t="inlineStr">
        <is>
          <t>The Buffered AXI-Lite UART shall compute the BAUD_TUNING register reset value (C_BAUD_TUNING_RESET in VHDL, LP_BAUD_TUNING_RESET in SystemVerilog) as round(DEFAULT_BAUD × 2³² / CLK_FREQ_HZ) using round-to-nearest arithmetic. Truncation shall not be used for this computation.</t>
        </is>
      </c>
      <c r="E10" s="16" t="inlineStr">
        <is>
          <t>BALU-RS-001</t>
        </is>
      </c>
      <c r="F10" s="16" t="inlineStr">
        <is>
          <t>§3.4</t>
        </is>
      </c>
      <c r="G10" s="16" t="inlineStr">
        <is>
          <t>analysis</t>
        </is>
      </c>
      <c r="H10" s="16" t="inlineStr">
        <is>
          <t>COV-001, COV-015</t>
        </is>
      </c>
      <c r="I10" s="16" t="inlineStr">
        <is>
          <t>NCO tuning word sweep at 12 values from minimum (0x00000001) to maximum (0xFFFFFFFF) including all standard baud rates.</t>
        </is>
      </c>
      <c r="J10" s="16" t="inlineStr"/>
      <c r="K10" s="16" t="inlineStr">
        <is>
          <t>GENERATED</t>
        </is>
      </c>
      <c r="L10" s="16" t="inlineStr"/>
      <c r="M10" s="16" t="inlineStr"/>
      <c r="N10" s="16" t="inlineStr">
        <is>
          <t>Parametric</t>
        </is>
      </c>
      <c r="O10" s="16" t="inlineStr">
        <is>
          <t>ALL</t>
        </is>
      </c>
      <c r="P10" s="16" t="inlineStr"/>
      <c r="Q10" s="16" t="inlineStr">
        <is>
          <t>vhdl/buffered_axi_lite_uart.vhd</t>
        </is>
      </c>
      <c r="R10" s="16" t="inlineStr">
        <is>
          <t>RTL</t>
        </is>
      </c>
      <c r="S10" s="16" t="inlineStr">
        <is>
          <t>NOT_RUN</t>
        </is>
      </c>
      <c r="T10" s="16" t="inlineStr"/>
      <c r="U10" s="16" t="inlineStr"/>
      <c r="V10" s="16" t="inlineStr"/>
      <c r="W10" s="16" t="inlineStr">
        <is>
          <t>NOT_RUN</t>
        </is>
      </c>
      <c r="X10" s="16" t="inlineStr"/>
      <c r="AA10" s="16" t="inlineStr"/>
      <c r="AB10" s="17">
        <f>IF(K10="WAIVED","WAIVED",IF(H10="","OPEN",IF(S10="BLOCKED","BLOCKED",IF(S10="FAIL","FAILING",IF(S10="PASS",IF(AA10&lt;&gt;"","AT_RISK",IF(AC10&lt;&gt;"","CLOSED","PASSING")),"COVERED")))))</f>
        <v/>
      </c>
      <c r="AC10" s="16" t="inlineStr"/>
      <c r="AD10" s="16" t="inlineStr"/>
      <c r="AE10" s="16" t="inlineStr"/>
      <c r="AF10" s="16" t="inlineStr">
        <is>
          <t>1.0.0</t>
        </is>
      </c>
      <c r="AG10" s="16" t="inlineStr">
        <is>
          <t>ZUBoard 1CG / Basys 3</t>
        </is>
      </c>
      <c r="AH10" s="16" t="inlineStr">
        <is>
          <t>BALU-RS-001 Rev 0.4</t>
        </is>
      </c>
    </row>
    <row r="11">
      <c r="A11" s="16" t="inlineStr">
        <is>
          <t>UART-PAR-008</t>
        </is>
      </c>
      <c r="B11" s="16" t="inlineStr">
        <is>
          <t>PAR</t>
        </is>
      </c>
      <c r="C11" s="16" t="inlineStr">
        <is>
          <t>parametric</t>
        </is>
      </c>
      <c r="D11" s="16" t="inlineStr">
        <is>
          <t>The Buffered AXI-Lite UART shall set the FIFO_CTRL register reset value (C_FIFO_THRESH_RESET in VHDL, LP_FIFO_THRESH_RESET in SystemVerilog) such that TX_THRESH and RX_THRESH each equal FIFO_DEPTH / 2, providing threshold interrupts at half-full by default.</t>
        </is>
      </c>
      <c r="E11" s="16" t="inlineStr">
        <is>
          <t>BALU-RS-001</t>
        </is>
      </c>
      <c r="F11" s="16" t="inlineStr">
        <is>
          <t>§3.4</t>
        </is>
      </c>
      <c r="G11" s="16" t="inlineStr">
        <is>
          <t>test</t>
        </is>
      </c>
      <c r="H11" s="16" t="inlineStr">
        <is>
          <t>COV-015</t>
        </is>
      </c>
      <c r="I11" s="16" t="inlineStr">
        <is>
          <t>Assert then deassert reset; read all 12 registers and compare each field to the reset value specified in Table 8-x.</t>
        </is>
      </c>
      <c r="J11" s="16" t="inlineStr"/>
      <c r="K11" s="16" t="inlineStr">
        <is>
          <t>GENERATED</t>
        </is>
      </c>
      <c r="L11" s="16" t="inlineStr"/>
      <c r="M11" s="16" t="inlineStr"/>
      <c r="N11" s="16" t="inlineStr">
        <is>
          <t>Parametric</t>
        </is>
      </c>
      <c r="O11" s="16" t="inlineStr">
        <is>
          <t>ALL</t>
        </is>
      </c>
      <c r="P11" s="16" t="inlineStr"/>
      <c r="Q11" s="16" t="inlineStr">
        <is>
          <t>vhdl/buffered_axi_lite_uart.vhd</t>
        </is>
      </c>
      <c r="R11" s="16" t="inlineStr">
        <is>
          <t>RTL</t>
        </is>
      </c>
      <c r="S11" s="16" t="inlineStr">
        <is>
          <t>NOT_RUN</t>
        </is>
      </c>
      <c r="T11" s="16" t="inlineStr"/>
      <c r="U11" s="16" t="inlineStr"/>
      <c r="V11" s="16" t="inlineStr"/>
      <c r="W11" s="16" t="inlineStr">
        <is>
          <t>NOT_RUN</t>
        </is>
      </c>
      <c r="X11" s="16" t="inlineStr"/>
      <c r="AA11" s="16" t="inlineStr"/>
      <c r="AB11" s="17">
        <f>IF(K11="WAIVED","WAIVED",IF(H11="","OPEN",IF(S11="BLOCKED","BLOCKED",IF(S11="FAIL","FAILING",IF(S11="PASS",IF(AA11&lt;&gt;"","AT_RISK",IF(AC11&lt;&gt;"","CLOSED","PASSING")),"COVERED")))))</f>
        <v/>
      </c>
      <c r="AC11" s="16" t="inlineStr"/>
      <c r="AD11" s="16" t="inlineStr"/>
      <c r="AE11" s="16" t="inlineStr"/>
      <c r="AF11" s="16" t="inlineStr">
        <is>
          <t>1.0.0</t>
        </is>
      </c>
      <c r="AG11" s="16" t="inlineStr">
        <is>
          <t>ZUBoard 1CG / Basys 3</t>
        </is>
      </c>
      <c r="AH11" s="16" t="inlineStr">
        <is>
          <t>BALU-RS-001 Rev 0.4</t>
        </is>
      </c>
    </row>
    <row r="12">
      <c r="A12" s="16" t="inlineStr">
        <is>
          <t>UART-PAR-009</t>
        </is>
      </c>
      <c r="B12" s="16" t="inlineStr">
        <is>
          <t>PAR</t>
        </is>
      </c>
      <c r="C12" s="16" t="inlineStr">
        <is>
          <t>parametric</t>
        </is>
      </c>
      <c r="D12" s="16" t="inlineStr">
        <is>
          <t>The Buffered AXI-Lite UART shall size the FIFO_STATUS TX_LEVEL and RX_LEVEL fields as 8-bit unsigned integers capable of representing occupancy values 0 to FIFO_DEPTH inclusive for all supported values of FIFO_DEPTH.</t>
        </is>
      </c>
      <c r="E12" s="16" t="inlineStr">
        <is>
          <t>BALU-RS-001</t>
        </is>
      </c>
      <c r="F12" s="16" t="inlineStr">
        <is>
          <t>§3.4</t>
        </is>
      </c>
      <c r="G12" s="16" t="inlineStr">
        <is>
          <t>test</t>
        </is>
      </c>
      <c r="H12" s="16" t="inlineStr">
        <is>
          <t>COV-017</t>
        </is>
      </c>
      <c r="I12" s="16" t="inlineStr">
        <is>
          <t>Structural inspection: verify 8-bit data frames transmitted and received, AXI data width=32, address width sufficient, single-beat transactions only.</t>
        </is>
      </c>
      <c r="J12" s="16" t="inlineStr"/>
      <c r="K12" s="16" t="inlineStr">
        <is>
          <t>GENERATED</t>
        </is>
      </c>
      <c r="L12" s="16" t="inlineStr"/>
      <c r="M12" s="16" t="inlineStr"/>
      <c r="N12" s="16" t="inlineStr">
        <is>
          <t>Parametric</t>
        </is>
      </c>
      <c r="O12" s="16" t="inlineStr">
        <is>
          <t>ALL</t>
        </is>
      </c>
      <c r="P12" s="16" t="inlineStr"/>
      <c r="Q12" s="16" t="inlineStr">
        <is>
          <t>vhdl/buffered_axi_lite_uart.vhd</t>
        </is>
      </c>
      <c r="R12" s="16" t="inlineStr">
        <is>
          <t>RTL</t>
        </is>
      </c>
      <c r="S12" s="16" t="inlineStr">
        <is>
          <t>NOT_RUN</t>
        </is>
      </c>
      <c r="T12" s="16" t="inlineStr"/>
      <c r="U12" s="16" t="inlineStr"/>
      <c r="V12" s="16" t="inlineStr"/>
      <c r="W12" s="16" t="inlineStr">
        <is>
          <t>NOT_RUN</t>
        </is>
      </c>
      <c r="X12" s="16" t="inlineStr"/>
      <c r="AA12" s="16" t="inlineStr"/>
      <c r="AB12" s="17">
        <f>IF(K12="WAIVED","WAIVED",IF(H12="","OPEN",IF(S12="BLOCKED","BLOCKED",IF(S12="FAIL","FAILING",IF(S12="PASS",IF(AA12&lt;&gt;"","AT_RISK",IF(AC12&lt;&gt;"","CLOSED","PASSING")),"COVERED")))))</f>
        <v/>
      </c>
      <c r="AC12" s="16" t="inlineStr"/>
      <c r="AD12" s="16" t="inlineStr"/>
      <c r="AE12" s="16" t="inlineStr"/>
      <c r="AF12" s="16" t="inlineStr">
        <is>
          <t>1.0.0</t>
        </is>
      </c>
      <c r="AG12" s="16" t="inlineStr">
        <is>
          <t>ZUBoard 1CG / Basys 3</t>
        </is>
      </c>
      <c r="AH12" s="16" t="inlineStr">
        <is>
          <t>BALU-RS-001 Rev 0.4</t>
        </is>
      </c>
    </row>
    <row r="13">
      <c r="A13" s="16" t="inlineStr">
        <is>
          <t>UART-IF-001</t>
        </is>
      </c>
      <c r="B13" s="16" t="inlineStr">
        <is>
          <t>IF</t>
        </is>
      </c>
      <c r="C13" s="16" t="inlineStr">
        <is>
          <t>functional</t>
        </is>
      </c>
      <c r="D13" s="16" t="inlineStr">
        <is>
          <t>The Buffered AXI-Lite UART shall implement an AXI-Lite slave interface compliant with the ARM AMBA AXI4-Lite specification.</t>
        </is>
      </c>
      <c r="E13" s="16" t="inlineStr">
        <is>
          <t>BALU-RS-001</t>
        </is>
      </c>
      <c r="F13" s="16" t="inlineStr">
        <is>
          <t>§6.1</t>
        </is>
      </c>
      <c r="G13" s="16" t="inlineStr">
        <is>
          <t>test</t>
        </is>
      </c>
      <c r="H13" s="16" t="inlineStr">
        <is>
          <t>COV-017</t>
        </is>
      </c>
      <c r="I13" s="16" t="inlineStr">
        <is>
          <t>Structural inspection: verify 8-bit data frames transmitted and received, AXI data width=32, address width sufficient, single-beat transactions only.</t>
        </is>
      </c>
      <c r="J13" s="16" t="inlineStr"/>
      <c r="K13" s="16" t="inlineStr">
        <is>
          <t>GENERATED</t>
        </is>
      </c>
      <c r="L13" s="16" t="inlineStr"/>
      <c r="M13" s="16" t="inlineStr"/>
      <c r="N13" s="16" t="inlineStr">
        <is>
          <t>Protocol_Compliance</t>
        </is>
      </c>
      <c r="O13" s="16" t="inlineStr">
        <is>
          <t>ALL</t>
        </is>
      </c>
      <c r="P13" s="16" t="inlineStr"/>
      <c r="Q13" s="16" t="inlineStr">
        <is>
          <t>vhdl/buffered_axi_lite_uart.vhd</t>
        </is>
      </c>
      <c r="R13" s="16" t="inlineStr">
        <is>
          <t>RTL</t>
        </is>
      </c>
      <c r="S13" s="16" t="inlineStr">
        <is>
          <t>NOT_RUN</t>
        </is>
      </c>
      <c r="T13" s="16" t="inlineStr"/>
      <c r="U13" s="16" t="inlineStr"/>
      <c r="V13" s="16" t="inlineStr"/>
      <c r="W13" s="16" t="inlineStr">
        <is>
          <t>NOT_RUN</t>
        </is>
      </c>
      <c r="X13" s="16" t="inlineStr"/>
      <c r="AA13" s="16" t="inlineStr"/>
      <c r="AB13" s="17">
        <f>IF(K13="WAIVED","WAIVED",IF(H13="","OPEN",IF(S13="BLOCKED","BLOCKED",IF(S13="FAIL","FAILING",IF(S13="PASS",IF(AA13&lt;&gt;"","AT_RISK",IF(AC13&lt;&gt;"","CLOSED","PASSING")),"COVERED")))))</f>
        <v/>
      </c>
      <c r="AC13" s="16" t="inlineStr"/>
      <c r="AD13" s="16" t="inlineStr"/>
      <c r="AE13" s="16" t="inlineStr"/>
      <c r="AF13" s="16" t="inlineStr">
        <is>
          <t>1.0.0</t>
        </is>
      </c>
      <c r="AG13" s="16" t="inlineStr">
        <is>
          <t>ZUBoard 1CG / Basys 3</t>
        </is>
      </c>
      <c r="AH13" s="16" t="inlineStr">
        <is>
          <t>BALU-RS-001 Rev 0.4</t>
        </is>
      </c>
    </row>
    <row r="14">
      <c r="A14" s="16" t="inlineStr">
        <is>
          <t>UART-IF-002</t>
        </is>
      </c>
      <c r="B14" s="16" t="inlineStr">
        <is>
          <t>IF</t>
        </is>
      </c>
      <c r="C14" s="16" t="inlineStr">
        <is>
          <t>functional</t>
        </is>
      </c>
      <c r="D14" s="16" t="inlineStr">
        <is>
          <t>The Buffered AXI-Lite UART shall provide an AXI-Lite data width of 32 bits.</t>
        </is>
      </c>
      <c r="E14" s="16" t="inlineStr">
        <is>
          <t>BALU-RS-001</t>
        </is>
      </c>
      <c r="F14" s="16" t="inlineStr">
        <is>
          <t>§6.1</t>
        </is>
      </c>
      <c r="G14" s="16" t="inlineStr">
        <is>
          <t>inspection</t>
        </is>
      </c>
      <c r="H14" s="16" t="inlineStr">
        <is>
          <t>COV-017</t>
        </is>
      </c>
      <c r="I14" s="16" t="inlineStr">
        <is>
          <t>Structural inspection: verify 8-bit data frames transmitted and received, AXI data width=32, address width sufficient, single-beat transactions only.</t>
        </is>
      </c>
      <c r="J14" s="16" t="inlineStr"/>
      <c r="K14" s="16" t="inlineStr">
        <is>
          <t>GENERATED</t>
        </is>
      </c>
      <c r="L14" s="16" t="inlineStr"/>
      <c r="M14" s="16" t="inlineStr"/>
      <c r="N14" s="16" t="inlineStr">
        <is>
          <t>Protocol_Compliance</t>
        </is>
      </c>
      <c r="O14" s="16" t="inlineStr">
        <is>
          <t>ALL</t>
        </is>
      </c>
      <c r="P14" s="16" t="inlineStr"/>
      <c r="Q14" s="16" t="inlineStr">
        <is>
          <t>vhdl/buffered_axi_lite_uart.vhd</t>
        </is>
      </c>
      <c r="R14" s="16" t="inlineStr">
        <is>
          <t>RTL</t>
        </is>
      </c>
      <c r="S14" s="16" t="inlineStr">
        <is>
          <t>NOT_RUN</t>
        </is>
      </c>
      <c r="T14" s="16" t="inlineStr"/>
      <c r="U14" s="16" t="inlineStr"/>
      <c r="V14" s="16" t="inlineStr"/>
      <c r="W14" s="16" t="inlineStr">
        <is>
          <t>NOT_RUN</t>
        </is>
      </c>
      <c r="X14" s="16" t="inlineStr"/>
      <c r="AA14" s="16" t="inlineStr"/>
      <c r="AB14" s="17">
        <f>IF(K14="WAIVED","WAIVED",IF(H14="","OPEN",IF(S14="BLOCKED","BLOCKED",IF(S14="FAIL","FAILING",IF(S14="PASS",IF(AA14&lt;&gt;"","AT_RISK",IF(AC14&lt;&gt;"","CLOSED","PASSING")),"COVERED")))))</f>
        <v/>
      </c>
      <c r="AC14" s="16" t="inlineStr"/>
      <c r="AD14" s="16" t="inlineStr"/>
      <c r="AE14" s="16" t="inlineStr"/>
      <c r="AF14" s="16" t="inlineStr">
        <is>
          <t>1.0.0</t>
        </is>
      </c>
      <c r="AG14" s="16" t="inlineStr">
        <is>
          <t>ZUBoard 1CG / Basys 3</t>
        </is>
      </c>
      <c r="AH14" s="16" t="inlineStr">
        <is>
          <t>BALU-RS-001 Rev 0.4</t>
        </is>
      </c>
    </row>
    <row r="15">
      <c r="A15" s="16" t="inlineStr">
        <is>
          <t>UART-IF-003</t>
        </is>
      </c>
      <c r="B15" s="16" t="inlineStr">
        <is>
          <t>IF</t>
        </is>
      </c>
      <c r="C15" s="16" t="inlineStr">
        <is>
          <t>functional</t>
        </is>
      </c>
      <c r="D15" s="16" t="inlineStr">
        <is>
          <t>The Buffered AXI-Lite UART shall provide an AXI-Lite address width sufficient to address all defined register offsets within the peripheral address space.</t>
        </is>
      </c>
      <c r="E15" s="16" t="inlineStr">
        <is>
          <t>BALU-RS-001</t>
        </is>
      </c>
      <c r="F15" s="16" t="inlineStr">
        <is>
          <t>§6.1</t>
        </is>
      </c>
      <c r="G15" s="16" t="inlineStr">
        <is>
          <t>inspection</t>
        </is>
      </c>
      <c r="H15" s="16" t="inlineStr">
        <is>
          <t>COV-017</t>
        </is>
      </c>
      <c r="I15" s="16" t="inlineStr">
        <is>
          <t>Structural inspection: verify 8-bit data frames transmitted and received, AXI data width=32, address width sufficient, single-beat transactions only.</t>
        </is>
      </c>
      <c r="J15" s="16" t="inlineStr"/>
      <c r="K15" s="16" t="inlineStr">
        <is>
          <t>GENERATED</t>
        </is>
      </c>
      <c r="L15" s="16" t="inlineStr"/>
      <c r="M15" s="16" t="inlineStr"/>
      <c r="N15" s="16" t="inlineStr">
        <is>
          <t>Protocol_Compliance</t>
        </is>
      </c>
      <c r="O15" s="16" t="inlineStr">
        <is>
          <t>ALL</t>
        </is>
      </c>
      <c r="P15" s="16" t="inlineStr"/>
      <c r="Q15" s="16" t="inlineStr">
        <is>
          <t>vhdl/buffered_axi_lite_uart.vhd</t>
        </is>
      </c>
      <c r="R15" s="16" t="inlineStr">
        <is>
          <t>RTL</t>
        </is>
      </c>
      <c r="S15" s="16" t="inlineStr">
        <is>
          <t>NOT_RUN</t>
        </is>
      </c>
      <c r="T15" s="16" t="inlineStr"/>
      <c r="U15" s="16" t="inlineStr"/>
      <c r="V15" s="16" t="inlineStr"/>
      <c r="W15" s="16" t="inlineStr">
        <is>
          <t>NOT_RUN</t>
        </is>
      </c>
      <c r="X15" s="16" t="inlineStr"/>
      <c r="AA15" s="16" t="inlineStr"/>
      <c r="AB15" s="17">
        <f>IF(K15="WAIVED","WAIVED",IF(H15="","OPEN",IF(S15="BLOCKED","BLOCKED",IF(S15="FAIL","FAILING",IF(S15="PASS",IF(AA15&lt;&gt;"","AT_RISK",IF(AC15&lt;&gt;"","CLOSED","PASSING")),"COVERED")))))</f>
        <v/>
      </c>
      <c r="AC15" s="16" t="inlineStr"/>
      <c r="AD15" s="16" t="inlineStr"/>
      <c r="AE15" s="16" t="inlineStr"/>
      <c r="AF15" s="16" t="inlineStr">
        <is>
          <t>1.0.0</t>
        </is>
      </c>
      <c r="AG15" s="16" t="inlineStr">
        <is>
          <t>ZUBoard 1CG / Basys 3</t>
        </is>
      </c>
      <c r="AH15" s="16" t="inlineStr">
        <is>
          <t>BALU-RS-001 Rev 0.4</t>
        </is>
      </c>
    </row>
    <row r="16">
      <c r="A16" s="16" t="inlineStr">
        <is>
          <t>UART-IF-004</t>
        </is>
      </c>
      <c r="B16" s="16" t="inlineStr">
        <is>
          <t>IF</t>
        </is>
      </c>
      <c r="C16" s="16" t="inlineStr">
        <is>
          <t>functional</t>
        </is>
      </c>
      <c r="D16" s="16" t="inlineStr">
        <is>
          <t>The Buffered AXI-Lite UART shall accept single-beat AXI-Lite read and write transactions only. Burst transactions shall not be supported.</t>
        </is>
      </c>
      <c r="E16" s="16" t="inlineStr">
        <is>
          <t>BALU-RS-001</t>
        </is>
      </c>
      <c r="F16" s="16" t="inlineStr">
        <is>
          <t>§6.1</t>
        </is>
      </c>
      <c r="G16" s="16" t="inlineStr">
        <is>
          <t>test</t>
        </is>
      </c>
      <c r="H16" s="16" t="inlineStr">
        <is>
          <t>COV-017</t>
        </is>
      </c>
      <c r="I16" s="16" t="inlineStr">
        <is>
          <t>Structural inspection: verify 8-bit data frames transmitted and received, AXI data width=32, address width sufficient, single-beat transactions only.</t>
        </is>
      </c>
      <c r="J16" s="16" t="inlineStr"/>
      <c r="K16" s="16" t="inlineStr">
        <is>
          <t>GENERATED</t>
        </is>
      </c>
      <c r="L16" s="16" t="inlineStr"/>
      <c r="M16" s="16" t="inlineStr"/>
      <c r="N16" s="16" t="inlineStr">
        <is>
          <t>Protocol_Compliance</t>
        </is>
      </c>
      <c r="O16" s="16" t="inlineStr">
        <is>
          <t>ALL</t>
        </is>
      </c>
      <c r="P16" s="16" t="inlineStr"/>
      <c r="Q16" s="16" t="inlineStr">
        <is>
          <t>vhdl/buffered_axi_lite_uart.vhd</t>
        </is>
      </c>
      <c r="R16" s="16" t="inlineStr">
        <is>
          <t>RTL</t>
        </is>
      </c>
      <c r="S16" s="16" t="inlineStr">
        <is>
          <t>NOT_RUN</t>
        </is>
      </c>
      <c r="T16" s="16" t="inlineStr"/>
      <c r="U16" s="16" t="inlineStr"/>
      <c r="V16" s="16" t="inlineStr"/>
      <c r="W16" s="16" t="inlineStr">
        <is>
          <t>NOT_RUN</t>
        </is>
      </c>
      <c r="X16" s="16" t="inlineStr"/>
      <c r="AA16" s="16" t="inlineStr"/>
      <c r="AB16" s="17">
        <f>IF(K16="WAIVED","WAIVED",IF(H16="","OPEN",IF(S16="BLOCKED","BLOCKED",IF(S16="FAIL","FAILING",IF(S16="PASS",IF(AA16&lt;&gt;"","AT_RISK",IF(AC16&lt;&gt;"","CLOSED","PASSING")),"COVERED")))))</f>
        <v/>
      </c>
      <c r="AC16" s="16" t="inlineStr"/>
      <c r="AD16" s="16" t="inlineStr"/>
      <c r="AE16" s="16" t="inlineStr"/>
      <c r="AF16" s="16" t="inlineStr">
        <is>
          <t>1.0.0</t>
        </is>
      </c>
      <c r="AG16" s="16" t="inlineStr">
        <is>
          <t>ZUBoard 1CG / Basys 3</t>
        </is>
      </c>
      <c r="AH16" s="16" t="inlineStr">
        <is>
          <t>BALU-RS-001 Rev 0.4</t>
        </is>
      </c>
    </row>
    <row r="17">
      <c r="A17" s="16" t="inlineStr">
        <is>
          <t>UART-IF-005</t>
        </is>
      </c>
      <c r="B17" s="16" t="inlineStr">
        <is>
          <t>IF</t>
        </is>
      </c>
      <c r="C17" s="16" t="inlineStr">
        <is>
          <t>functional</t>
        </is>
      </c>
      <c r="D17" s="16" t="inlineStr">
        <is>
          <t>The Buffered AXI-Lite UART shall accept AWVALID and WVALID arriving in any order on the write address and write data channels, and shall not complete the write transaction until both have been accepted.</t>
        </is>
      </c>
      <c r="E17" s="16" t="inlineStr">
        <is>
          <t>BALU-RS-001</t>
        </is>
      </c>
      <c r="F17" s="16" t="inlineStr">
        <is>
          <t>§6.1</t>
        </is>
      </c>
      <c r="G17" s="16" t="inlineStr">
        <is>
          <t>test</t>
        </is>
      </c>
      <c r="H17" s="16" t="inlineStr">
        <is>
          <t>COV-012</t>
        </is>
      </c>
      <c r="I17" s="16" t="inlineStr">
        <is>
          <t>Issue AXI write with AWVALID first then WVALID, then repeat with WVALID first then AWVALID; verify correct response in both orderings.</t>
        </is>
      </c>
      <c r="J17" s="16" t="inlineStr"/>
      <c r="K17" s="16" t="inlineStr">
        <is>
          <t>GENERATED</t>
        </is>
      </c>
      <c r="L17" s="16" t="inlineStr"/>
      <c r="M17" s="16" t="inlineStr"/>
      <c r="N17" s="16" t="inlineStr">
        <is>
          <t>Protocol_Compliance</t>
        </is>
      </c>
      <c r="O17" s="16" t="inlineStr">
        <is>
          <t>ALL</t>
        </is>
      </c>
      <c r="P17" s="16" t="inlineStr"/>
      <c r="Q17" s="16" t="inlineStr">
        <is>
          <t>vhdl/buffered_axi_lite_uart.vhd</t>
        </is>
      </c>
      <c r="R17" s="16" t="inlineStr">
        <is>
          <t>RTL</t>
        </is>
      </c>
      <c r="S17" s="16" t="inlineStr">
        <is>
          <t>NOT_RUN</t>
        </is>
      </c>
      <c r="T17" s="16" t="inlineStr"/>
      <c r="U17" s="16" t="inlineStr"/>
      <c r="V17" s="16" t="inlineStr"/>
      <c r="W17" s="16" t="inlineStr">
        <is>
          <t>NOT_RUN</t>
        </is>
      </c>
      <c r="X17" s="16" t="inlineStr"/>
      <c r="AA17" s="16" t="inlineStr"/>
      <c r="AB17" s="17">
        <f>IF(K17="WAIVED","WAIVED",IF(H17="","OPEN",IF(S17="BLOCKED","BLOCKED",IF(S17="FAIL","FAILING",IF(S17="PASS",IF(AA17&lt;&gt;"","AT_RISK",IF(AC17&lt;&gt;"","CLOSED","PASSING")),"COVERED")))))</f>
        <v/>
      </c>
      <c r="AC17" s="16" t="inlineStr"/>
      <c r="AD17" s="16" t="inlineStr"/>
      <c r="AE17" s="16" t="inlineStr"/>
      <c r="AF17" s="16" t="inlineStr">
        <is>
          <t>1.0.0</t>
        </is>
      </c>
      <c r="AG17" s="16" t="inlineStr">
        <is>
          <t>ZUBoard 1CG / Basys 3</t>
        </is>
      </c>
      <c r="AH17" s="16" t="inlineStr">
        <is>
          <t>BALU-RS-001 Rev 0.4</t>
        </is>
      </c>
    </row>
    <row r="18">
      <c r="A18" s="16" t="inlineStr">
        <is>
          <t>UART-IF-006</t>
        </is>
      </c>
      <c r="B18" s="16" t="inlineStr">
        <is>
          <t>IF</t>
        </is>
      </c>
      <c r="C18" s="16" t="inlineStr">
        <is>
          <t>functional</t>
        </is>
      </c>
      <c r="D18" s="16" t="inlineStr">
        <is>
          <t>The Buffered AXI-Lite UART shall return OKAY (2'b00) on BRESP for all successful write transactions.</t>
        </is>
      </c>
      <c r="E18" s="16" t="inlineStr">
        <is>
          <t>BALU-RS-001</t>
        </is>
      </c>
      <c r="F18" s="16" t="inlineStr">
        <is>
          <t>§6.1</t>
        </is>
      </c>
      <c r="G18" s="16" t="inlineStr">
        <is>
          <t>test</t>
        </is>
      </c>
      <c r="H18" s="16" t="inlineStr">
        <is>
          <t>COV-010</t>
        </is>
      </c>
      <c r="I18" s="16" t="inlineStr">
        <is>
          <t>AXI write to valid register offset (OKAY expected) and to undefined offset 0x30 (SLVERR expected); capture BRESP each time.</t>
        </is>
      </c>
      <c r="J18" s="16" t="inlineStr"/>
      <c r="K18" s="16" t="inlineStr">
        <is>
          <t>GENERATED</t>
        </is>
      </c>
      <c r="L18" s="16" t="inlineStr"/>
      <c r="M18" s="16" t="inlineStr"/>
      <c r="N18" s="16" t="inlineStr">
        <is>
          <t>Protocol_Compliance</t>
        </is>
      </c>
      <c r="O18" s="16" t="inlineStr">
        <is>
          <t>ALL</t>
        </is>
      </c>
      <c r="P18" s="16" t="inlineStr"/>
      <c r="Q18" s="16" t="inlineStr">
        <is>
          <t>vhdl/buffered_axi_lite_uart.vhd</t>
        </is>
      </c>
      <c r="R18" s="16" t="inlineStr">
        <is>
          <t>RTL</t>
        </is>
      </c>
      <c r="S18" s="16" t="inlineStr">
        <is>
          <t>NOT_RUN</t>
        </is>
      </c>
      <c r="T18" s="16" t="inlineStr"/>
      <c r="U18" s="16" t="inlineStr"/>
      <c r="V18" s="16" t="inlineStr"/>
      <c r="W18" s="16" t="inlineStr">
        <is>
          <t>NOT_RUN</t>
        </is>
      </c>
      <c r="X18" s="16" t="inlineStr"/>
      <c r="AA18" s="16" t="inlineStr"/>
      <c r="AB18" s="17">
        <f>IF(K18="WAIVED","WAIVED",IF(H18="","OPEN",IF(S18="BLOCKED","BLOCKED",IF(S18="FAIL","FAILING",IF(S18="PASS",IF(AA18&lt;&gt;"","AT_RISK",IF(AC18&lt;&gt;"","CLOSED","PASSING")),"COVERED")))))</f>
        <v/>
      </c>
      <c r="AC18" s="16" t="inlineStr"/>
      <c r="AD18" s="16" t="inlineStr"/>
      <c r="AE18" s="16" t="inlineStr"/>
      <c r="AF18" s="16" t="inlineStr">
        <is>
          <t>1.0.0</t>
        </is>
      </c>
      <c r="AG18" s="16" t="inlineStr">
        <is>
          <t>ZUBoard 1CG / Basys 3</t>
        </is>
      </c>
      <c r="AH18" s="16" t="inlineStr">
        <is>
          <t>BALU-RS-001 Rev 0.4</t>
        </is>
      </c>
    </row>
    <row r="19">
      <c r="A19" s="16" t="inlineStr">
        <is>
          <t>UART-IF-007</t>
        </is>
      </c>
      <c r="B19" s="16" t="inlineStr">
        <is>
          <t>IF</t>
        </is>
      </c>
      <c r="C19" s="16" t="inlineStr">
        <is>
          <t>functional</t>
        </is>
      </c>
      <c r="D19" s="16" t="inlineStr">
        <is>
          <t>The Buffered AXI-Lite UART shall return OKAY (2'b00) on RRESP for all successful read transactions.</t>
        </is>
      </c>
      <c r="E19" s="16" t="inlineStr">
        <is>
          <t>BALU-RS-001</t>
        </is>
      </c>
      <c r="F19" s="16" t="inlineStr">
        <is>
          <t>§6.1</t>
        </is>
      </c>
      <c r="G19" s="16" t="inlineStr">
        <is>
          <t>test</t>
        </is>
      </c>
      <c r="H19" s="16" t="inlineStr">
        <is>
          <t>COV-011</t>
        </is>
      </c>
      <c r="I19" s="16" t="inlineStr">
        <is>
          <t>AXI read from valid register offset (OKAY expected) and from undefined offset 0x30 (SLVERR expected); capture RRESP each time.</t>
        </is>
      </c>
      <c r="J19" s="16" t="inlineStr"/>
      <c r="K19" s="16" t="inlineStr">
        <is>
          <t>GENERATED</t>
        </is>
      </c>
      <c r="L19" s="16" t="inlineStr"/>
      <c r="M19" s="16" t="inlineStr"/>
      <c r="N19" s="16" t="inlineStr">
        <is>
          <t>Protocol_Compliance</t>
        </is>
      </c>
      <c r="O19" s="16" t="inlineStr">
        <is>
          <t>ALL</t>
        </is>
      </c>
      <c r="P19" s="16" t="inlineStr"/>
      <c r="Q19" s="16" t="inlineStr">
        <is>
          <t>vhdl/buffered_axi_lite_uart.vhd</t>
        </is>
      </c>
      <c r="R19" s="16" t="inlineStr">
        <is>
          <t>RTL</t>
        </is>
      </c>
      <c r="S19" s="16" t="inlineStr">
        <is>
          <t>NOT_RUN</t>
        </is>
      </c>
      <c r="T19" s="16" t="inlineStr"/>
      <c r="U19" s="16" t="inlineStr"/>
      <c r="V19" s="16" t="inlineStr"/>
      <c r="W19" s="16" t="inlineStr">
        <is>
          <t>NOT_RUN</t>
        </is>
      </c>
      <c r="X19" s="16" t="inlineStr"/>
      <c r="AA19" s="16" t="inlineStr"/>
      <c r="AB19" s="17">
        <f>IF(K19="WAIVED","WAIVED",IF(H19="","OPEN",IF(S19="BLOCKED","BLOCKED",IF(S19="FAIL","FAILING",IF(S19="PASS",IF(AA19&lt;&gt;"","AT_RISK",IF(AC19&lt;&gt;"","CLOSED","PASSING")),"COVERED")))))</f>
        <v/>
      </c>
      <c r="AC19" s="16" t="inlineStr"/>
      <c r="AD19" s="16" t="inlineStr"/>
      <c r="AE19" s="16" t="inlineStr"/>
      <c r="AF19" s="16" t="inlineStr">
        <is>
          <t>1.0.0</t>
        </is>
      </c>
      <c r="AG19" s="16" t="inlineStr">
        <is>
          <t>ZUBoard 1CG / Basys 3</t>
        </is>
      </c>
      <c r="AH19" s="16" t="inlineStr">
        <is>
          <t>BALU-RS-001 Rev 0.4</t>
        </is>
      </c>
    </row>
    <row r="20">
      <c r="A20" s="16" t="inlineStr">
        <is>
          <t>UART-IF-008</t>
        </is>
      </c>
      <c r="B20" s="16" t="inlineStr">
        <is>
          <t>IF</t>
        </is>
      </c>
      <c r="C20" s="16" t="inlineStr">
        <is>
          <t>functional</t>
        </is>
      </c>
      <c r="D20" s="16" t="inlineStr">
        <is>
          <t>The Buffered AXI-Lite UART shall return SLVERR (2'b10) on BRESP for write transactions to undefined address offsets.</t>
        </is>
      </c>
      <c r="E20" s="16" t="inlineStr">
        <is>
          <t>BALU-RS-001</t>
        </is>
      </c>
      <c r="F20" s="16" t="inlineStr">
        <is>
          <t>§6.1</t>
        </is>
      </c>
      <c r="G20" s="16" t="inlineStr">
        <is>
          <t>test</t>
        </is>
      </c>
      <c r="H20" s="16" t="inlineStr">
        <is>
          <t>COV-010</t>
        </is>
      </c>
      <c r="I20" s="16" t="inlineStr">
        <is>
          <t>AXI write to valid register offset (OKAY expected) and to undefined offset 0x30 (SLVERR expected); capture BRESP each time.</t>
        </is>
      </c>
      <c r="J20" s="16" t="inlineStr"/>
      <c r="K20" s="16" t="inlineStr">
        <is>
          <t>GENERATED</t>
        </is>
      </c>
      <c r="L20" s="16" t="inlineStr"/>
      <c r="M20" s="16" t="inlineStr"/>
      <c r="N20" s="16" t="inlineStr">
        <is>
          <t>Protocol_Compliance</t>
        </is>
      </c>
      <c r="O20" s="16" t="inlineStr">
        <is>
          <t>ALL</t>
        </is>
      </c>
      <c r="P20" s="16" t="inlineStr"/>
      <c r="Q20" s="16" t="inlineStr">
        <is>
          <t>vhdl/buffered_axi_lite_uart.vhd</t>
        </is>
      </c>
      <c r="R20" s="16" t="inlineStr">
        <is>
          <t>RTL</t>
        </is>
      </c>
      <c r="S20" s="16" t="inlineStr">
        <is>
          <t>NOT_RUN</t>
        </is>
      </c>
      <c r="T20" s="16" t="inlineStr"/>
      <c r="U20" s="16" t="inlineStr"/>
      <c r="V20" s="16" t="inlineStr"/>
      <c r="W20" s="16" t="inlineStr">
        <is>
          <t>NOT_RUN</t>
        </is>
      </c>
      <c r="X20" s="16" t="inlineStr"/>
      <c r="AA20" s="16" t="inlineStr"/>
      <c r="AB20" s="17">
        <f>IF(K20="WAIVED","WAIVED",IF(H20="","OPEN",IF(S20="BLOCKED","BLOCKED",IF(S20="FAIL","FAILING",IF(S20="PASS",IF(AA20&lt;&gt;"","AT_RISK",IF(AC20&lt;&gt;"","CLOSED","PASSING")),"COVERED")))))</f>
        <v/>
      </c>
      <c r="AC20" s="16" t="inlineStr"/>
      <c r="AD20" s="16" t="inlineStr"/>
      <c r="AE20" s="16" t="inlineStr"/>
      <c r="AF20" s="16" t="inlineStr">
        <is>
          <t>1.0.0</t>
        </is>
      </c>
      <c r="AG20" s="16" t="inlineStr">
        <is>
          <t>ZUBoard 1CG / Basys 3</t>
        </is>
      </c>
      <c r="AH20" s="16" t="inlineStr">
        <is>
          <t>BALU-RS-001 Rev 0.4</t>
        </is>
      </c>
    </row>
    <row r="21">
      <c r="A21" s="16" t="inlineStr">
        <is>
          <t>UART-IF-009</t>
        </is>
      </c>
      <c r="B21" s="16" t="inlineStr">
        <is>
          <t>IF</t>
        </is>
      </c>
      <c r="C21" s="16" t="inlineStr">
        <is>
          <t>functional</t>
        </is>
      </c>
      <c r="D21" s="16" t="inlineStr">
        <is>
          <t>The Buffered AXI-Lite UART shall return SLVERR (2'b10) on RRESP for read transactions to undefined address offsets.</t>
        </is>
      </c>
      <c r="E21" s="16" t="inlineStr">
        <is>
          <t>BALU-RS-001</t>
        </is>
      </c>
      <c r="F21" s="16" t="inlineStr">
        <is>
          <t>§6.1</t>
        </is>
      </c>
      <c r="G21" s="16" t="inlineStr">
        <is>
          <t>test</t>
        </is>
      </c>
      <c r="H21" s="16" t="inlineStr">
        <is>
          <t>COV-011</t>
        </is>
      </c>
      <c r="I21" s="16" t="inlineStr">
        <is>
          <t>AXI read from valid register offset (OKAY expected) and from undefined offset 0x30 (SLVERR expected); capture RRESP each time.</t>
        </is>
      </c>
      <c r="J21" s="16" t="inlineStr"/>
      <c r="K21" s="16" t="inlineStr">
        <is>
          <t>GENERATED</t>
        </is>
      </c>
      <c r="L21" s="16" t="inlineStr"/>
      <c r="M21" s="16" t="inlineStr"/>
      <c r="N21" s="16" t="inlineStr">
        <is>
          <t>Protocol_Compliance</t>
        </is>
      </c>
      <c r="O21" s="16" t="inlineStr">
        <is>
          <t>ALL</t>
        </is>
      </c>
      <c r="P21" s="16" t="inlineStr"/>
      <c r="Q21" s="16" t="inlineStr">
        <is>
          <t>vhdl/buffered_axi_lite_uart.vhd</t>
        </is>
      </c>
      <c r="R21" s="16" t="inlineStr">
        <is>
          <t>RTL</t>
        </is>
      </c>
      <c r="S21" s="16" t="inlineStr">
        <is>
          <t>NOT_RUN</t>
        </is>
      </c>
      <c r="T21" s="16" t="inlineStr"/>
      <c r="U21" s="16" t="inlineStr"/>
      <c r="V21" s="16" t="inlineStr"/>
      <c r="W21" s="16" t="inlineStr">
        <is>
          <t>NOT_RUN</t>
        </is>
      </c>
      <c r="X21" s="16" t="inlineStr"/>
      <c r="AA21" s="16" t="inlineStr"/>
      <c r="AB21" s="17">
        <f>IF(K21="WAIVED","WAIVED",IF(H21="","OPEN",IF(S21="BLOCKED","BLOCKED",IF(S21="FAIL","FAILING",IF(S21="PASS",IF(AA21&lt;&gt;"","AT_RISK",IF(AC21&lt;&gt;"","CLOSED","PASSING")),"COVERED")))))</f>
        <v/>
      </c>
      <c r="AC21" s="16" t="inlineStr"/>
      <c r="AD21" s="16" t="inlineStr"/>
      <c r="AE21" s="16" t="inlineStr"/>
      <c r="AF21" s="16" t="inlineStr">
        <is>
          <t>1.0.0</t>
        </is>
      </c>
      <c r="AG21" s="16" t="inlineStr">
        <is>
          <t>ZUBoard 1CG / Basys 3</t>
        </is>
      </c>
      <c r="AH21" s="16" t="inlineStr">
        <is>
          <t>BALU-RS-001 Rev 0.4</t>
        </is>
      </c>
    </row>
    <row r="22">
      <c r="A22" s="16" t="inlineStr">
        <is>
          <t>UART-IF-010</t>
        </is>
      </c>
      <c r="B22" s="16" t="inlineStr">
        <is>
          <t>IF</t>
        </is>
      </c>
      <c r="C22" s="16" t="inlineStr">
        <is>
          <t>functional</t>
        </is>
      </c>
      <c r="D22" s="16" t="inlineStr">
        <is>
          <t>The Buffered AXI-Lite UART shall silently ignore writes to read-only registers or reserved fields. Register content shall be unchanged following such a write.</t>
        </is>
      </c>
      <c r="E22" s="16" t="inlineStr">
        <is>
          <t>BALU-RS-001</t>
        </is>
      </c>
      <c r="F22" s="16" t="inlineStr">
        <is>
          <t>§6.1</t>
        </is>
      </c>
      <c r="G22" s="16" t="inlineStr">
        <is>
          <t>test</t>
        </is>
      </c>
      <c r="H22" s="16" t="inlineStr">
        <is>
          <t>COV-018</t>
        </is>
      </c>
      <c r="I22" s="16" t="inlineStr">
        <is>
          <t>Write to each read-only register (STATUS, FIFO_STATUS, INT_STATUS, INT_CLEAR, TX_DATA reads, RX_DATA writes); read back and verify state unchanged.</t>
        </is>
      </c>
      <c r="J22" s="16" t="inlineStr"/>
      <c r="K22" s="16" t="inlineStr">
        <is>
          <t>GENERATED</t>
        </is>
      </c>
      <c r="L22" s="16" t="inlineStr"/>
      <c r="M22" s="16" t="inlineStr"/>
      <c r="N22" s="16" t="inlineStr">
        <is>
          <t>Protocol_Compliance</t>
        </is>
      </c>
      <c r="O22" s="16" t="inlineStr">
        <is>
          <t>ALL</t>
        </is>
      </c>
      <c r="P22" s="16" t="inlineStr"/>
      <c r="Q22" s="16" t="inlineStr">
        <is>
          <t>vhdl/buffered_axi_lite_uart.vhd</t>
        </is>
      </c>
      <c r="R22" s="16" t="inlineStr">
        <is>
          <t>RTL</t>
        </is>
      </c>
      <c r="S22" s="16" t="inlineStr">
        <is>
          <t>NOT_RUN</t>
        </is>
      </c>
      <c r="T22" s="16" t="inlineStr"/>
      <c r="U22" s="16" t="inlineStr"/>
      <c r="V22" s="16" t="inlineStr"/>
      <c r="W22" s="16" t="inlineStr">
        <is>
          <t>NOT_RUN</t>
        </is>
      </c>
      <c r="X22" s="16" t="inlineStr"/>
      <c r="AA22" s="16" t="inlineStr"/>
      <c r="AB22" s="17">
        <f>IF(K22="WAIVED","WAIVED",IF(H22="","OPEN",IF(S22="BLOCKED","BLOCKED",IF(S22="FAIL","FAILING",IF(S22="PASS",IF(AA22&lt;&gt;"","AT_RISK",IF(AC22&lt;&gt;"","CLOSED","PASSING")),"COVERED")))))</f>
        <v/>
      </c>
      <c r="AC22" s="16" t="inlineStr"/>
      <c r="AD22" s="16" t="inlineStr"/>
      <c r="AE22" s="16" t="inlineStr"/>
      <c r="AF22" s="16" t="inlineStr">
        <is>
          <t>1.0.0</t>
        </is>
      </c>
      <c r="AG22" s="16" t="inlineStr">
        <is>
          <t>ZUBoard 1CG / Basys 3</t>
        </is>
      </c>
      <c r="AH22" s="16" t="inlineStr">
        <is>
          <t>BALU-RS-001 Rev 0.4</t>
        </is>
      </c>
    </row>
    <row r="23">
      <c r="A23" s="16" t="inlineStr">
        <is>
          <t>UART-IF-011</t>
        </is>
      </c>
      <c r="B23" s="16" t="inlineStr">
        <is>
          <t>IF</t>
        </is>
      </c>
      <c r="C23" s="16" t="inlineStr">
        <is>
          <t>functional</t>
        </is>
      </c>
      <c r="D23" s="16" t="inlineStr">
        <is>
          <t>The Buffered AXI-Lite UART shall allow AXI-Lite read and write transactions to different registers to proceed without interference.</t>
        </is>
      </c>
      <c r="E23" s="16" t="inlineStr">
        <is>
          <t>BALU-RS-001</t>
        </is>
      </c>
      <c r="F23" s="16" t="inlineStr">
        <is>
          <t>§6.1</t>
        </is>
      </c>
      <c r="G23" s="16" t="inlineStr">
        <is>
          <t>test</t>
        </is>
      </c>
      <c r="H23" s="16" t="inlineStr">
        <is>
          <t>COV-018</t>
        </is>
      </c>
      <c r="I23" s="16" t="inlineStr">
        <is>
          <t>Write to each read-only register (STATUS, FIFO_STATUS, INT_STATUS, INT_CLEAR, TX_DATA reads, RX_DATA writes); read back and verify state unchanged.</t>
        </is>
      </c>
      <c r="J23" s="16" t="inlineStr"/>
      <c r="K23" s="16" t="inlineStr">
        <is>
          <t>GENERATED</t>
        </is>
      </c>
      <c r="L23" s="16" t="inlineStr"/>
      <c r="M23" s="16" t="inlineStr"/>
      <c r="N23" s="16" t="inlineStr">
        <is>
          <t>Protocol_Compliance</t>
        </is>
      </c>
      <c r="O23" s="16" t="inlineStr">
        <is>
          <t>ALL</t>
        </is>
      </c>
      <c r="P23" s="16" t="inlineStr"/>
      <c r="Q23" s="16" t="inlineStr">
        <is>
          <t>vhdl/buffered_axi_lite_uart.vhd</t>
        </is>
      </c>
      <c r="R23" s="16" t="inlineStr">
        <is>
          <t>RTL</t>
        </is>
      </c>
      <c r="S23" s="16" t="inlineStr">
        <is>
          <t>NOT_RUN</t>
        </is>
      </c>
      <c r="T23" s="16" t="inlineStr"/>
      <c r="U23" s="16" t="inlineStr"/>
      <c r="V23" s="16" t="inlineStr"/>
      <c r="W23" s="16" t="inlineStr">
        <is>
          <t>NOT_RUN</t>
        </is>
      </c>
      <c r="X23" s="16" t="inlineStr"/>
      <c r="AA23" s="16" t="inlineStr"/>
      <c r="AB23" s="17">
        <f>IF(K23="WAIVED","WAIVED",IF(H23="","OPEN",IF(S23="BLOCKED","BLOCKED",IF(S23="FAIL","FAILING",IF(S23="PASS",IF(AA23&lt;&gt;"","AT_RISK",IF(AC23&lt;&gt;"","CLOSED","PASSING")),"COVERED")))))</f>
        <v/>
      </c>
      <c r="AC23" s="16" t="inlineStr"/>
      <c r="AD23" s="16" t="inlineStr"/>
      <c r="AE23" s="16" t="inlineStr"/>
      <c r="AF23" s="16" t="inlineStr">
        <is>
          <t>1.0.0</t>
        </is>
      </c>
      <c r="AG23" s="16" t="inlineStr">
        <is>
          <t>ZUBoard 1CG / Basys 3</t>
        </is>
      </c>
      <c r="AH23" s="16" t="inlineStr">
        <is>
          <t>BALU-RS-001 Rev 0.4</t>
        </is>
      </c>
    </row>
    <row r="24">
      <c r="A24" s="16" t="inlineStr">
        <is>
          <t>UART-IF-012</t>
        </is>
      </c>
      <c r="B24" s="16" t="inlineStr">
        <is>
          <t>IF</t>
        </is>
      </c>
      <c r="C24" s="16" t="inlineStr">
        <is>
          <t>functional</t>
        </is>
      </c>
      <c r="D24" s="16" t="inlineStr">
        <is>
          <t>The Buffered AXI-Lite UART shall provide a single-ended TX output and RX input conforming to standard UART signal conventions: idle high, active-low start bit.</t>
        </is>
      </c>
      <c r="E24" s="16" t="inlineStr">
        <is>
          <t>BALU-RS-001</t>
        </is>
      </c>
      <c r="F24" s="16" t="inlineStr">
        <is>
          <t>§6.2</t>
        </is>
      </c>
      <c r="G24" s="16" t="inlineStr">
        <is>
          <t>inspection</t>
        </is>
      </c>
      <c r="H24" s="16" t="inlineStr">
        <is>
          <t>COV-017</t>
        </is>
      </c>
      <c r="I24" s="16" t="inlineStr">
        <is>
          <t>Structural inspection: verify 8-bit data frames transmitted and received, AXI data width=32, address width sufficient, single-beat transactions only.</t>
        </is>
      </c>
      <c r="J24" s="16" t="inlineStr"/>
      <c r="K24" s="16" t="inlineStr">
        <is>
          <t>GENERATED</t>
        </is>
      </c>
      <c r="L24" s="16" t="inlineStr"/>
      <c r="M24" s="16" t="inlineStr"/>
      <c r="N24" s="16" t="inlineStr">
        <is>
          <t>Protocol_Compliance</t>
        </is>
      </c>
      <c r="O24" s="16" t="inlineStr">
        <is>
          <t>ALL</t>
        </is>
      </c>
      <c r="P24" s="16" t="inlineStr"/>
      <c r="Q24" s="16" t="inlineStr">
        <is>
          <t>vhdl/buffered_axi_lite_uart.vhd</t>
        </is>
      </c>
      <c r="R24" s="16" t="inlineStr">
        <is>
          <t>RTL</t>
        </is>
      </c>
      <c r="S24" s="16" t="inlineStr">
        <is>
          <t>NOT_RUN</t>
        </is>
      </c>
      <c r="T24" s="16" t="inlineStr"/>
      <c r="U24" s="16" t="inlineStr"/>
      <c r="V24" s="16" t="inlineStr"/>
      <c r="W24" s="16" t="inlineStr">
        <is>
          <t>NOT_RUN</t>
        </is>
      </c>
      <c r="X24" s="16" t="inlineStr"/>
      <c r="AA24" s="16" t="inlineStr"/>
      <c r="AB24" s="17">
        <f>IF(K24="WAIVED","WAIVED",IF(H24="","OPEN",IF(S24="BLOCKED","BLOCKED",IF(S24="FAIL","FAILING",IF(S24="PASS",IF(AA24&lt;&gt;"","AT_RISK",IF(AC24&lt;&gt;"","CLOSED","PASSING")),"COVERED")))))</f>
        <v/>
      </c>
      <c r="AC24" s="16" t="inlineStr"/>
      <c r="AD24" s="16" t="inlineStr"/>
      <c r="AE24" s="16" t="inlineStr"/>
      <c r="AF24" s="16" t="inlineStr">
        <is>
          <t>1.0.0</t>
        </is>
      </c>
      <c r="AG24" s="16" t="inlineStr">
        <is>
          <t>ZUBoard 1CG / Basys 3</t>
        </is>
      </c>
      <c r="AH24" s="16" t="inlineStr">
        <is>
          <t>BALU-RS-001 Rev 0.4</t>
        </is>
      </c>
    </row>
    <row r="25">
      <c r="A25" s="16" t="inlineStr">
        <is>
          <t>UART-IF-013</t>
        </is>
      </c>
      <c r="B25" s="16" t="inlineStr">
        <is>
          <t>IF</t>
        </is>
      </c>
      <c r="C25" s="16" t="inlineStr">
        <is>
          <t>functional</t>
        </is>
      </c>
      <c r="D25" s="16" t="inlineStr">
        <is>
          <t>The Buffered AXI-Lite UART shall support 8-bit data frames.</t>
        </is>
      </c>
      <c r="E25" s="16" t="inlineStr">
        <is>
          <t>BALU-RS-001</t>
        </is>
      </c>
      <c r="F25" s="16" t="inlineStr">
        <is>
          <t>§6.2</t>
        </is>
      </c>
      <c r="G25" s="16" t="inlineStr">
        <is>
          <t>test</t>
        </is>
      </c>
      <c r="H25" s="16" t="inlineStr">
        <is>
          <t>COV-017</t>
        </is>
      </c>
      <c r="I25" s="16" t="inlineStr">
        <is>
          <t>Structural inspection: verify 8-bit data frames transmitted and received, AXI data width=32, address width sufficient, single-beat transactions only.</t>
        </is>
      </c>
      <c r="J25" s="16" t="inlineStr"/>
      <c r="K25" s="16" t="inlineStr">
        <is>
          <t>GENERATED</t>
        </is>
      </c>
      <c r="L25" s="16" t="inlineStr"/>
      <c r="M25" s="16" t="inlineStr"/>
      <c r="N25" s="16" t="inlineStr">
        <is>
          <t>Protocol_Compliance</t>
        </is>
      </c>
      <c r="O25" s="16" t="inlineStr">
        <is>
          <t>ALL</t>
        </is>
      </c>
      <c r="P25" s="16" t="inlineStr"/>
      <c r="Q25" s="16" t="inlineStr">
        <is>
          <t>vhdl/buffered_axi_lite_uart.vhd</t>
        </is>
      </c>
      <c r="R25" s="16" t="inlineStr">
        <is>
          <t>RTL</t>
        </is>
      </c>
      <c r="S25" s="16" t="inlineStr">
        <is>
          <t>NOT_RUN</t>
        </is>
      </c>
      <c r="T25" s="16" t="inlineStr"/>
      <c r="U25" s="16" t="inlineStr"/>
      <c r="V25" s="16" t="inlineStr"/>
      <c r="W25" s="16" t="inlineStr">
        <is>
          <t>NOT_RUN</t>
        </is>
      </c>
      <c r="X25" s="16" t="inlineStr"/>
      <c r="AA25" s="16" t="inlineStr"/>
      <c r="AB25" s="17">
        <f>IF(K25="WAIVED","WAIVED",IF(H25="","OPEN",IF(S25="BLOCKED","BLOCKED",IF(S25="FAIL","FAILING",IF(S25="PASS",IF(AA25&lt;&gt;"","AT_RISK",IF(AC25&lt;&gt;"","CLOSED","PASSING")),"COVERED")))))</f>
        <v/>
      </c>
      <c r="AC25" s="16" t="inlineStr"/>
      <c r="AD25" s="16" t="inlineStr"/>
      <c r="AE25" s="16" t="inlineStr"/>
      <c r="AF25" s="16" t="inlineStr">
        <is>
          <t>1.0.0</t>
        </is>
      </c>
      <c r="AG25" s="16" t="inlineStr">
        <is>
          <t>ZUBoard 1CG / Basys 3</t>
        </is>
      </c>
      <c r="AH25" s="16" t="inlineStr">
        <is>
          <t>BALU-RS-001 Rev 0.4</t>
        </is>
      </c>
    </row>
    <row r="26">
      <c r="A26" s="16" t="inlineStr">
        <is>
          <t>UART-IF-014</t>
        </is>
      </c>
      <c r="B26" s="16" t="inlineStr">
        <is>
          <t>IF</t>
        </is>
      </c>
      <c r="C26" s="16" t="inlineStr">
        <is>
          <t>functional</t>
        </is>
      </c>
      <c r="D26" s="16" t="inlineStr">
        <is>
          <t>The Buffered AXI-Lite UART shall support a start bit of one bit duration preceding each data field.</t>
        </is>
      </c>
      <c r="E26" s="16" t="inlineStr">
        <is>
          <t>BALU-RS-001</t>
        </is>
      </c>
      <c r="F26" s="16" t="inlineStr">
        <is>
          <t>§6.2</t>
        </is>
      </c>
      <c r="G26" s="16" t="inlineStr">
        <is>
          <t>test</t>
        </is>
      </c>
      <c r="H26" s="16" t="inlineStr">
        <is>
          <t>COV-017</t>
        </is>
      </c>
      <c r="I26" s="16" t="inlineStr">
        <is>
          <t>Structural inspection: verify 8-bit data frames transmitted and received, AXI data width=32, address width sufficient, single-beat transactions only.</t>
        </is>
      </c>
      <c r="J26" s="16" t="inlineStr"/>
      <c r="K26" s="16" t="inlineStr">
        <is>
          <t>GENERATED</t>
        </is>
      </c>
      <c r="L26" s="16" t="inlineStr"/>
      <c r="M26" s="16" t="inlineStr"/>
      <c r="N26" s="16" t="inlineStr">
        <is>
          <t>Protocol_Compliance</t>
        </is>
      </c>
      <c r="O26" s="16" t="inlineStr">
        <is>
          <t>ALL</t>
        </is>
      </c>
      <c r="P26" s="16" t="inlineStr"/>
      <c r="Q26" s="16" t="inlineStr">
        <is>
          <t>vhdl/buffered_axi_lite_uart.vhd</t>
        </is>
      </c>
      <c r="R26" s="16" t="inlineStr">
        <is>
          <t>RTL</t>
        </is>
      </c>
      <c r="S26" s="16" t="inlineStr">
        <is>
          <t>NOT_RUN</t>
        </is>
      </c>
      <c r="T26" s="16" t="inlineStr"/>
      <c r="U26" s="16" t="inlineStr"/>
      <c r="V26" s="16" t="inlineStr"/>
      <c r="W26" s="16" t="inlineStr">
        <is>
          <t>NOT_RUN</t>
        </is>
      </c>
      <c r="X26" s="16" t="inlineStr"/>
      <c r="AA26" s="16" t="inlineStr"/>
      <c r="AB26" s="17">
        <f>IF(K26="WAIVED","WAIVED",IF(H26="","OPEN",IF(S26="BLOCKED","BLOCKED",IF(S26="FAIL","FAILING",IF(S26="PASS",IF(AA26&lt;&gt;"","AT_RISK",IF(AC26&lt;&gt;"","CLOSED","PASSING")),"COVERED")))))</f>
        <v/>
      </c>
      <c r="AC26" s="16" t="inlineStr"/>
      <c r="AD26" s="16" t="inlineStr"/>
      <c r="AE26" s="16" t="inlineStr"/>
      <c r="AF26" s="16" t="inlineStr">
        <is>
          <t>1.0.0</t>
        </is>
      </c>
      <c r="AG26" s="16" t="inlineStr">
        <is>
          <t>ZUBoard 1CG / Basys 3</t>
        </is>
      </c>
      <c r="AH26" s="16" t="inlineStr">
        <is>
          <t>BALU-RS-001 Rev 0.4</t>
        </is>
      </c>
    </row>
    <row r="27">
      <c r="A27" s="16" t="inlineStr">
        <is>
          <t>UART-EN-001</t>
        </is>
      </c>
      <c r="B27" s="16" t="inlineStr">
        <is>
          <t>EN</t>
        </is>
      </c>
      <c r="C27" s="16" t="inlineStr">
        <is>
          <t>functional</t>
        </is>
      </c>
      <c r="D27" s="16" t="inlineStr">
        <is>
          <t>The Buffered AXI-Lite UART shall treat UART_EN as the master enable. When UART_EN is deasserted all UART transmit and receive activity shall cease and both TX and RX paths shall be held inactive.</t>
        </is>
      </c>
      <c r="E27" s="16" t="inlineStr">
        <is>
          <t>BALU-RS-001</t>
        </is>
      </c>
      <c r="F27" s="16" t="inlineStr">
        <is>
          <t>§7.1</t>
        </is>
      </c>
      <c r="G27" s="16" t="inlineStr">
        <is>
          <t>test</t>
        </is>
      </c>
      <c r="H27" s="16" t="inlineStr">
        <is>
          <t>COV-016</t>
        </is>
      </c>
      <c r="I27" s="16" t="inlineStr">
        <is>
          <t>Deassert UART_EN and verify TX/RX halt; then independently gate TX_EN and RX_EN with UART_EN=1 to verify path isolation; set LOOP_EN and verify loopback active.</t>
        </is>
      </c>
      <c r="J27" s="16" t="inlineStr"/>
      <c r="K27" s="16" t="inlineStr">
        <is>
          <t>GENERATED</t>
        </is>
      </c>
      <c r="L27" s="16" t="inlineStr"/>
      <c r="M27" s="16" t="inlineStr"/>
      <c r="N27" s="16" t="inlineStr">
        <is>
          <t>Functional</t>
        </is>
      </c>
      <c r="O27" s="16" t="inlineStr">
        <is>
          <t>ALL</t>
        </is>
      </c>
      <c r="P27" s="16" t="inlineStr"/>
      <c r="Q27" s="16" t="inlineStr">
        <is>
          <t>vhdl/buffered_axi_lite_uart.vhd</t>
        </is>
      </c>
      <c r="R27" s="16" t="inlineStr">
        <is>
          <t>RTL</t>
        </is>
      </c>
      <c r="S27" s="16" t="inlineStr">
        <is>
          <t>NOT_RUN</t>
        </is>
      </c>
      <c r="T27" s="16" t="inlineStr"/>
      <c r="U27" s="16" t="inlineStr"/>
      <c r="V27" s="16" t="inlineStr"/>
      <c r="W27" s="16" t="inlineStr">
        <is>
          <t>NOT_RUN</t>
        </is>
      </c>
      <c r="X27" s="16" t="inlineStr"/>
      <c r="AA27" s="16" t="inlineStr"/>
      <c r="AB27" s="17">
        <f>IF(K27="WAIVED","WAIVED",IF(H27="","OPEN",IF(S27="BLOCKED","BLOCKED",IF(S27="FAIL","FAILING",IF(S27="PASS",IF(AA27&lt;&gt;"","AT_RISK",IF(AC27&lt;&gt;"","CLOSED","PASSING")),"COVERED")))))</f>
        <v/>
      </c>
      <c r="AC27" s="16" t="inlineStr"/>
      <c r="AD27" s="16" t="inlineStr"/>
      <c r="AE27" s="16" t="inlineStr"/>
      <c r="AF27" s="16" t="inlineStr">
        <is>
          <t>1.0.0</t>
        </is>
      </c>
      <c r="AG27" s="16" t="inlineStr">
        <is>
          <t>ZUBoard 1CG / Basys 3</t>
        </is>
      </c>
      <c r="AH27" s="16" t="inlineStr">
        <is>
          <t>BALU-RS-001 Rev 0.4</t>
        </is>
      </c>
    </row>
    <row r="28">
      <c r="A28" s="16" t="inlineStr">
        <is>
          <t>UART-EN-002</t>
        </is>
      </c>
      <c r="B28" s="16" t="inlineStr">
        <is>
          <t>EN</t>
        </is>
      </c>
      <c r="C28" s="16" t="inlineStr">
        <is>
          <t>functional</t>
        </is>
      </c>
      <c r="D28" s="16" t="inlineStr">
        <is>
          <t>The Buffered AXI-Lite UART shall enable the transmit path independently via TX_EN. Deasserting TX_EN shall not affect RX path operation provided UART_EN remains asserted.</t>
        </is>
      </c>
      <c r="E28" s="16" t="inlineStr">
        <is>
          <t>BALU-RS-001</t>
        </is>
      </c>
      <c r="F28" s="16" t="inlineStr">
        <is>
          <t>§7.1</t>
        </is>
      </c>
      <c r="G28" s="16" t="inlineStr">
        <is>
          <t>test</t>
        </is>
      </c>
      <c r="H28" s="16" t="inlineStr">
        <is>
          <t>COV-016</t>
        </is>
      </c>
      <c r="I28" s="16" t="inlineStr">
        <is>
          <t>Deassert UART_EN and verify TX/RX halt; then independently gate TX_EN and RX_EN with UART_EN=1 to verify path isolation; set LOOP_EN and verify loopback active.</t>
        </is>
      </c>
      <c r="J28" s="16" t="inlineStr"/>
      <c r="K28" s="16" t="inlineStr">
        <is>
          <t>GENERATED</t>
        </is>
      </c>
      <c r="L28" s="16" t="inlineStr"/>
      <c r="M28" s="16" t="inlineStr"/>
      <c r="N28" s="16" t="inlineStr">
        <is>
          <t>Functional</t>
        </is>
      </c>
      <c r="O28" s="16" t="inlineStr">
        <is>
          <t>ALL</t>
        </is>
      </c>
      <c r="P28" s="16" t="inlineStr"/>
      <c r="Q28" s="16" t="inlineStr">
        <is>
          <t>vhdl/buffered_axi_lite_uart.vhd</t>
        </is>
      </c>
      <c r="R28" s="16" t="inlineStr">
        <is>
          <t>RTL</t>
        </is>
      </c>
      <c r="S28" s="16" t="inlineStr">
        <is>
          <t>NOT_RUN</t>
        </is>
      </c>
      <c r="T28" s="16" t="inlineStr"/>
      <c r="U28" s="16" t="inlineStr"/>
      <c r="V28" s="16" t="inlineStr"/>
      <c r="W28" s="16" t="inlineStr">
        <is>
          <t>NOT_RUN</t>
        </is>
      </c>
      <c r="X28" s="16" t="inlineStr"/>
      <c r="AA28" s="16" t="inlineStr"/>
      <c r="AB28" s="17">
        <f>IF(K28="WAIVED","WAIVED",IF(H28="","OPEN",IF(S28="BLOCKED","BLOCKED",IF(S28="FAIL","FAILING",IF(S28="PASS",IF(AA28&lt;&gt;"","AT_RISK",IF(AC28&lt;&gt;"","CLOSED","PASSING")),"COVERED")))))</f>
        <v/>
      </c>
      <c r="AC28" s="16" t="inlineStr"/>
      <c r="AD28" s="16" t="inlineStr"/>
      <c r="AE28" s="16" t="inlineStr"/>
      <c r="AF28" s="16" t="inlineStr">
        <is>
          <t>1.0.0</t>
        </is>
      </c>
      <c r="AG28" s="16" t="inlineStr">
        <is>
          <t>ZUBoard 1CG / Basys 3</t>
        </is>
      </c>
      <c r="AH28" s="16" t="inlineStr">
        <is>
          <t>BALU-RS-001 Rev 0.4</t>
        </is>
      </c>
    </row>
    <row r="29">
      <c r="A29" s="16" t="inlineStr">
        <is>
          <t>UART-EN-003</t>
        </is>
      </c>
      <c r="B29" s="16" t="inlineStr">
        <is>
          <t>EN</t>
        </is>
      </c>
      <c r="C29" s="16" t="inlineStr">
        <is>
          <t>functional</t>
        </is>
      </c>
      <c r="D29" s="16" t="inlineStr">
        <is>
          <t>The Buffered AXI-Lite UART shall enable the receive path independently via RX_EN. Deasserting RX_EN shall not affect TX path operation provided UART_EN remains asserted.</t>
        </is>
      </c>
      <c r="E29" s="16" t="inlineStr">
        <is>
          <t>BALU-RS-001</t>
        </is>
      </c>
      <c r="F29" s="16" t="inlineStr">
        <is>
          <t>§7.1</t>
        </is>
      </c>
      <c r="G29" s="16" t="inlineStr">
        <is>
          <t>test</t>
        </is>
      </c>
      <c r="H29" s="16" t="inlineStr">
        <is>
          <t>COV-016</t>
        </is>
      </c>
      <c r="I29" s="16" t="inlineStr">
        <is>
          <t>Deassert UART_EN and verify TX/RX halt; then independently gate TX_EN and RX_EN with UART_EN=1 to verify path isolation; set LOOP_EN and verify loopback active.</t>
        </is>
      </c>
      <c r="J29" s="16" t="inlineStr"/>
      <c r="K29" s="16" t="inlineStr">
        <is>
          <t>GENERATED</t>
        </is>
      </c>
      <c r="L29" s="16" t="inlineStr"/>
      <c r="M29" s="16" t="inlineStr"/>
      <c r="N29" s="16" t="inlineStr">
        <is>
          <t>Functional</t>
        </is>
      </c>
      <c r="O29" s="16" t="inlineStr">
        <is>
          <t>ALL</t>
        </is>
      </c>
      <c r="P29" s="16" t="inlineStr"/>
      <c r="Q29" s="16" t="inlineStr">
        <is>
          <t>vhdl/buffered_axi_lite_uart.vhd</t>
        </is>
      </c>
      <c r="R29" s="16" t="inlineStr">
        <is>
          <t>RTL</t>
        </is>
      </c>
      <c r="S29" s="16" t="inlineStr">
        <is>
          <t>NOT_RUN</t>
        </is>
      </c>
      <c r="T29" s="16" t="inlineStr"/>
      <c r="U29" s="16" t="inlineStr"/>
      <c r="V29" s="16" t="inlineStr"/>
      <c r="W29" s="16" t="inlineStr">
        <is>
          <t>NOT_RUN</t>
        </is>
      </c>
      <c r="X29" s="16" t="inlineStr"/>
      <c r="AA29" s="16" t="inlineStr"/>
      <c r="AB29" s="17">
        <f>IF(K29="WAIVED","WAIVED",IF(H29="","OPEN",IF(S29="BLOCKED","BLOCKED",IF(S29="FAIL","FAILING",IF(S29="PASS",IF(AA29&lt;&gt;"","AT_RISK",IF(AC29&lt;&gt;"","CLOSED","PASSING")),"COVERED")))))</f>
        <v/>
      </c>
      <c r="AC29" s="16" t="inlineStr"/>
      <c r="AD29" s="16" t="inlineStr"/>
      <c r="AE29" s="16" t="inlineStr"/>
      <c r="AF29" s="16" t="inlineStr">
        <is>
          <t>1.0.0</t>
        </is>
      </c>
      <c r="AG29" s="16" t="inlineStr">
        <is>
          <t>ZUBoard 1CG / Basys 3</t>
        </is>
      </c>
      <c r="AH29" s="16" t="inlineStr">
        <is>
          <t>BALU-RS-001 Rev 0.4</t>
        </is>
      </c>
    </row>
    <row r="30">
      <c r="A30" s="16" t="inlineStr">
        <is>
          <t>UART-EN-004</t>
        </is>
      </c>
      <c r="B30" s="16" t="inlineStr">
        <is>
          <t>EN</t>
        </is>
      </c>
      <c r="C30" s="16" t="inlineStr">
        <is>
          <t>functional</t>
        </is>
      </c>
      <c r="D30" s="16" t="inlineStr">
        <is>
          <t>The Buffered AXI-Lite UART shall give TX_EN and RX_EN no effect when UART_EN is deasserted.</t>
        </is>
      </c>
      <c r="E30" s="16" t="inlineStr">
        <is>
          <t>BALU-RS-001</t>
        </is>
      </c>
      <c r="F30" s="16" t="inlineStr">
        <is>
          <t>§7.1</t>
        </is>
      </c>
      <c r="G30" s="16" t="inlineStr">
        <is>
          <t>test</t>
        </is>
      </c>
      <c r="H30" s="16" t="inlineStr">
        <is>
          <t>COV-016</t>
        </is>
      </c>
      <c r="I30" s="16" t="inlineStr">
        <is>
          <t>Deassert UART_EN and verify TX/RX halt; then independently gate TX_EN and RX_EN with UART_EN=1 to verify path isolation; set LOOP_EN and verify loopback active.</t>
        </is>
      </c>
      <c r="J30" s="16" t="inlineStr"/>
      <c r="K30" s="16" t="inlineStr">
        <is>
          <t>GENERATED</t>
        </is>
      </c>
      <c r="L30" s="16" t="inlineStr"/>
      <c r="M30" s="16" t="inlineStr"/>
      <c r="N30" s="16" t="inlineStr">
        <is>
          <t>Functional</t>
        </is>
      </c>
      <c r="O30" s="16" t="inlineStr">
        <is>
          <t>ALL</t>
        </is>
      </c>
      <c r="P30" s="16" t="inlineStr"/>
      <c r="Q30" s="16" t="inlineStr">
        <is>
          <t>vhdl/buffered_axi_lite_uart.vhd</t>
        </is>
      </c>
      <c r="R30" s="16" t="inlineStr">
        <is>
          <t>RTL</t>
        </is>
      </c>
      <c r="S30" s="16" t="inlineStr">
        <is>
          <t>NOT_RUN</t>
        </is>
      </c>
      <c r="T30" s="16" t="inlineStr"/>
      <c r="U30" s="16" t="inlineStr"/>
      <c r="V30" s="16" t="inlineStr"/>
      <c r="W30" s="16" t="inlineStr">
        <is>
          <t>NOT_RUN</t>
        </is>
      </c>
      <c r="X30" s="16" t="inlineStr"/>
      <c r="AA30" s="16" t="inlineStr"/>
      <c r="AB30" s="17">
        <f>IF(K30="WAIVED","WAIVED",IF(H30="","OPEN",IF(S30="BLOCKED","BLOCKED",IF(S30="FAIL","FAILING",IF(S30="PASS",IF(AA30&lt;&gt;"","AT_RISK",IF(AC30&lt;&gt;"","CLOSED","PASSING")),"COVERED")))))</f>
        <v/>
      </c>
      <c r="AC30" s="16" t="inlineStr"/>
      <c r="AD30" s="16" t="inlineStr"/>
      <c r="AE30" s="16" t="inlineStr"/>
      <c r="AF30" s="16" t="inlineStr">
        <is>
          <t>1.0.0</t>
        </is>
      </c>
      <c r="AG30" s="16" t="inlineStr">
        <is>
          <t>ZUBoard 1CG / Basys 3</t>
        </is>
      </c>
      <c r="AH30" s="16" t="inlineStr">
        <is>
          <t>BALU-RS-001 Rev 0.4</t>
        </is>
      </c>
    </row>
    <row r="31">
      <c r="A31" s="16" t="inlineStr">
        <is>
          <t>UART-EN-005</t>
        </is>
      </c>
      <c r="B31" s="16" t="inlineStr">
        <is>
          <t>EN</t>
        </is>
      </c>
      <c r="C31" s="16" t="inlineStr">
        <is>
          <t>functional</t>
        </is>
      </c>
      <c r="D31" s="16" t="inlineStr">
        <is>
          <t>The Buffered AXI-Lite UART shall connect the TX data path to the RX data path internally when LOOP_EN is asserted, driving the TX output normally while ignoring the external RX pin.</t>
        </is>
      </c>
      <c r="E31" s="16" t="inlineStr">
        <is>
          <t>BALU-RS-001</t>
        </is>
      </c>
      <c r="F31" s="16" t="inlineStr">
        <is>
          <t>§7.1</t>
        </is>
      </c>
      <c r="G31" s="16" t="inlineStr">
        <is>
          <t>test</t>
        </is>
      </c>
      <c r="H31" s="16" t="inlineStr">
        <is>
          <t>COV-016</t>
        </is>
      </c>
      <c r="I31" s="16" t="inlineStr">
        <is>
          <t>Deassert UART_EN and verify TX/RX halt; then independently gate TX_EN and RX_EN with UART_EN=1 to verify path isolation; set LOOP_EN and verify loopback active.</t>
        </is>
      </c>
      <c r="J31" s="16" t="inlineStr"/>
      <c r="K31" s="16" t="inlineStr">
        <is>
          <t>GENERATED</t>
        </is>
      </c>
      <c r="L31" s="16" t="inlineStr"/>
      <c r="M31" s="16" t="inlineStr"/>
      <c r="N31" s="16" t="inlineStr">
        <is>
          <t>Functional</t>
        </is>
      </c>
      <c r="O31" s="16" t="inlineStr">
        <is>
          <t>ALL</t>
        </is>
      </c>
      <c r="P31" s="16" t="inlineStr"/>
      <c r="Q31" s="16" t="inlineStr">
        <is>
          <t>vhdl/buffered_axi_lite_uart.vhd</t>
        </is>
      </c>
      <c r="R31" s="16" t="inlineStr">
        <is>
          <t>RTL</t>
        </is>
      </c>
      <c r="S31" s="16" t="inlineStr">
        <is>
          <t>NOT_RUN</t>
        </is>
      </c>
      <c r="T31" s="16" t="inlineStr"/>
      <c r="U31" s="16" t="inlineStr"/>
      <c r="V31" s="16" t="inlineStr"/>
      <c r="W31" s="16" t="inlineStr">
        <is>
          <t>NOT_RUN</t>
        </is>
      </c>
      <c r="X31" s="16" t="inlineStr"/>
      <c r="AA31" s="16" t="inlineStr"/>
      <c r="AB31" s="17">
        <f>IF(K31="WAIVED","WAIVED",IF(H31="","OPEN",IF(S31="BLOCKED","BLOCKED",IF(S31="FAIL","FAILING",IF(S31="PASS",IF(AA31&lt;&gt;"","AT_RISK",IF(AC31&lt;&gt;"","CLOSED","PASSING")),"COVERED")))))</f>
        <v/>
      </c>
      <c r="AC31" s="16" t="inlineStr"/>
      <c r="AD31" s="16" t="inlineStr"/>
      <c r="AE31" s="16" t="inlineStr"/>
      <c r="AF31" s="16" t="inlineStr">
        <is>
          <t>1.0.0</t>
        </is>
      </c>
      <c r="AG31" s="16" t="inlineStr">
        <is>
          <t>ZUBoard 1CG / Basys 3</t>
        </is>
      </c>
      <c r="AH31" s="16" t="inlineStr">
        <is>
          <t>BALU-RS-001 Rev 0.4</t>
        </is>
      </c>
    </row>
    <row r="32">
      <c r="A32" s="16" t="inlineStr">
        <is>
          <t>UART-EN-006</t>
        </is>
      </c>
      <c r="B32" s="16" t="inlineStr">
        <is>
          <t>EN</t>
        </is>
      </c>
      <c r="C32" s="16" t="inlineStr">
        <is>
          <t>functional</t>
        </is>
      </c>
      <c r="D32" s="16" t="inlineStr">
        <is>
          <t>The Buffered AXI-Lite UART shall apply LOOP_EN only while UART_EN is asserted.</t>
        </is>
      </c>
      <c r="E32" s="16" t="inlineStr">
        <is>
          <t>BALU-RS-001</t>
        </is>
      </c>
      <c r="F32" s="16" t="inlineStr">
        <is>
          <t>§7.1</t>
        </is>
      </c>
      <c r="G32" s="16" t="inlineStr">
        <is>
          <t>test</t>
        </is>
      </c>
      <c r="H32" s="16" t="inlineStr">
        <is>
          <t>COV-016</t>
        </is>
      </c>
      <c r="I32" s="16" t="inlineStr">
        <is>
          <t>Deassert UART_EN and verify TX/RX halt; then independently gate TX_EN and RX_EN with UART_EN=1 to verify path isolation; set LOOP_EN and verify loopback active.</t>
        </is>
      </c>
      <c r="J32" s="16" t="inlineStr"/>
      <c r="K32" s="16" t="inlineStr">
        <is>
          <t>GENERATED</t>
        </is>
      </c>
      <c r="L32" s="16" t="inlineStr"/>
      <c r="M32" s="16" t="inlineStr"/>
      <c r="N32" s="16" t="inlineStr">
        <is>
          <t>Functional</t>
        </is>
      </c>
      <c r="O32" s="16" t="inlineStr">
        <is>
          <t>ALL</t>
        </is>
      </c>
      <c r="P32" s="16" t="inlineStr"/>
      <c r="Q32" s="16" t="inlineStr">
        <is>
          <t>vhdl/buffered_axi_lite_uart.vhd</t>
        </is>
      </c>
      <c r="R32" s="16" t="inlineStr">
        <is>
          <t>RTL</t>
        </is>
      </c>
      <c r="S32" s="16" t="inlineStr">
        <is>
          <t>NOT_RUN</t>
        </is>
      </c>
      <c r="T32" s="16" t="inlineStr"/>
      <c r="U32" s="16" t="inlineStr"/>
      <c r="V32" s="16" t="inlineStr"/>
      <c r="W32" s="16" t="inlineStr">
        <is>
          <t>NOT_RUN</t>
        </is>
      </c>
      <c r="X32" s="16" t="inlineStr"/>
      <c r="AA32" s="16" t="inlineStr"/>
      <c r="AB32" s="17">
        <f>IF(K32="WAIVED","WAIVED",IF(H32="","OPEN",IF(S32="BLOCKED","BLOCKED",IF(S32="FAIL","FAILING",IF(S32="PASS",IF(AA32&lt;&gt;"","AT_RISK",IF(AC32&lt;&gt;"","CLOSED","PASSING")),"COVERED")))))</f>
        <v/>
      </c>
      <c r="AC32" s="16" t="inlineStr"/>
      <c r="AD32" s="16" t="inlineStr"/>
      <c r="AE32" s="16" t="inlineStr"/>
      <c r="AF32" s="16" t="inlineStr">
        <is>
          <t>1.0.0</t>
        </is>
      </c>
      <c r="AG32" s="16" t="inlineStr">
        <is>
          <t>ZUBoard 1CG / Basys 3</t>
        </is>
      </c>
      <c r="AH32" s="16" t="inlineStr">
        <is>
          <t>BALU-RS-001 Rev 0.4</t>
        </is>
      </c>
    </row>
    <row r="33">
      <c r="A33" s="16" t="inlineStr">
        <is>
          <t>UART-BR-001</t>
        </is>
      </c>
      <c r="B33" s="16" t="inlineStr">
        <is>
          <t>BR</t>
        </is>
      </c>
      <c r="C33" s="16" t="inlineStr">
        <is>
          <t>functional</t>
        </is>
      </c>
      <c r="D33" s="16" t="inlineStr">
        <is>
          <t>The Buffered AXI-Lite UART shall implement a 32-bit NCO accumulator for baud rate generation. On every system clock cycle the value in BAUD_TUNING shall be added to the accumulator and the carry-out shall generate one baud clock pulse.</t>
        </is>
      </c>
      <c r="E33" s="16" t="inlineStr">
        <is>
          <t>BALU-RS-001</t>
        </is>
      </c>
      <c r="F33" s="16" t="inlineStr">
        <is>
          <t>§7.2</t>
        </is>
      </c>
      <c r="G33" s="16" t="inlineStr">
        <is>
          <t>test</t>
        </is>
      </c>
      <c r="H33" s="16" t="inlineStr">
        <is>
          <t>COV-001</t>
        </is>
      </c>
      <c r="I33" s="16" t="inlineStr">
        <is>
          <t>NCO tuning word sweep at 12 values from minimum (0x00000001) to maximum (0xFFFFFFFF) including all standard baud rates.</t>
        </is>
      </c>
      <c r="J33" s="16" t="inlineStr"/>
      <c r="K33" s="16" t="inlineStr">
        <is>
          <t>GENERATED</t>
        </is>
      </c>
      <c r="L33" s="16" t="inlineStr"/>
      <c r="M33" s="16" t="inlineStr"/>
      <c r="N33" s="16" t="inlineStr">
        <is>
          <t>Functional</t>
        </is>
      </c>
      <c r="O33" s="16" t="inlineStr">
        <is>
          <t>ALL</t>
        </is>
      </c>
      <c r="P33" s="16" t="inlineStr"/>
      <c r="Q33" s="16" t="inlineStr">
        <is>
          <t>vhdl/buffered_axi_lite_uart.vhd</t>
        </is>
      </c>
      <c r="R33" s="16" t="inlineStr">
        <is>
          <t>RTL</t>
        </is>
      </c>
      <c r="S33" s="16" t="inlineStr">
        <is>
          <t>NOT_RUN</t>
        </is>
      </c>
      <c r="T33" s="16" t="inlineStr"/>
      <c r="U33" s="16" t="inlineStr"/>
      <c r="V33" s="16" t="inlineStr"/>
      <c r="W33" s="16" t="inlineStr">
        <is>
          <t>NOT_RUN</t>
        </is>
      </c>
      <c r="X33" s="16" t="inlineStr"/>
      <c r="AA33" s="16" t="inlineStr"/>
      <c r="AB33" s="17">
        <f>IF(K33="WAIVED","WAIVED",IF(H33="","OPEN",IF(S33="BLOCKED","BLOCKED",IF(S33="FAIL","FAILING",IF(S33="PASS",IF(AA33&lt;&gt;"","AT_RISK",IF(AC33&lt;&gt;"","CLOSED","PASSING")),"COVERED")))))</f>
        <v/>
      </c>
      <c r="AC33" s="16" t="inlineStr"/>
      <c r="AD33" s="16" t="inlineStr"/>
      <c r="AE33" s="16" t="inlineStr"/>
      <c r="AF33" s="16" t="inlineStr">
        <is>
          <t>1.0.0</t>
        </is>
      </c>
      <c r="AG33" s="16" t="inlineStr">
        <is>
          <t>ZUBoard 1CG / Basys 3</t>
        </is>
      </c>
      <c r="AH33" s="16" t="inlineStr">
        <is>
          <t>BALU-RS-001 Rev 0.4</t>
        </is>
      </c>
    </row>
    <row r="34">
      <c r="A34" s="16" t="inlineStr">
        <is>
          <t>UART-BR-002</t>
        </is>
      </c>
      <c r="B34" s="16" t="inlineStr">
        <is>
          <t>BR</t>
        </is>
      </c>
      <c r="C34" s="16" t="inlineStr">
        <is>
          <t>functional</t>
        </is>
      </c>
      <c r="D34" s="16" t="inlineStr">
        <is>
          <t>The Buffered AXI-Lite UART shall produce a baud rate equal to (BAUD_TUNING × F_clk) / 2³² where F_clk is the system clock frequency.</t>
        </is>
      </c>
      <c r="E34" s="16" t="inlineStr">
        <is>
          <t>BALU-RS-001</t>
        </is>
      </c>
      <c r="F34" s="16" t="inlineStr">
        <is>
          <t>§7.2</t>
        </is>
      </c>
      <c r="G34" s="16" t="inlineStr">
        <is>
          <t>analysis</t>
        </is>
      </c>
      <c r="H34" s="16" t="inlineStr">
        <is>
          <t>COV-001</t>
        </is>
      </c>
      <c r="I34" s="16" t="inlineStr">
        <is>
          <t>NCO tuning word sweep at 12 values from minimum (0x00000001) to maximum (0xFFFFFFFF) including all standard baud rates.</t>
        </is>
      </c>
      <c r="J34" s="16" t="inlineStr"/>
      <c r="K34" s="16" t="inlineStr">
        <is>
          <t>GENERATED</t>
        </is>
      </c>
      <c r="L34" s="16" t="inlineStr"/>
      <c r="M34" s="16" t="inlineStr"/>
      <c r="N34" s="16" t="inlineStr">
        <is>
          <t>Functional</t>
        </is>
      </c>
      <c r="O34" s="16" t="inlineStr">
        <is>
          <t>ALL</t>
        </is>
      </c>
      <c r="P34" s="16" t="inlineStr"/>
      <c r="Q34" s="16" t="inlineStr">
        <is>
          <t>vhdl/buffered_axi_lite_uart.vhd</t>
        </is>
      </c>
      <c r="R34" s="16" t="inlineStr">
        <is>
          <t>RTL</t>
        </is>
      </c>
      <c r="S34" s="16" t="inlineStr">
        <is>
          <t>NOT_RUN</t>
        </is>
      </c>
      <c r="T34" s="16" t="inlineStr"/>
      <c r="U34" s="16" t="inlineStr"/>
      <c r="V34" s="16" t="inlineStr"/>
      <c r="W34" s="16" t="inlineStr">
        <is>
          <t>NOT_RUN</t>
        </is>
      </c>
      <c r="X34" s="16" t="inlineStr"/>
      <c r="AA34" s="16" t="inlineStr"/>
      <c r="AB34" s="17">
        <f>IF(K34="WAIVED","WAIVED",IF(H34="","OPEN",IF(S34="BLOCKED","BLOCKED",IF(S34="FAIL","FAILING",IF(S34="PASS",IF(AA34&lt;&gt;"","AT_RISK",IF(AC34&lt;&gt;"","CLOSED","PASSING")),"COVERED")))))</f>
        <v/>
      </c>
      <c r="AC34" s="16" t="inlineStr"/>
      <c r="AD34" s="16" t="inlineStr"/>
      <c r="AE34" s="16" t="inlineStr"/>
      <c r="AF34" s="16" t="inlineStr">
        <is>
          <t>1.0.0</t>
        </is>
      </c>
      <c r="AG34" s="16" t="inlineStr">
        <is>
          <t>ZUBoard 1CG / Basys 3</t>
        </is>
      </c>
      <c r="AH34" s="16" t="inlineStr">
        <is>
          <t>BALU-RS-001 Rev 0.4</t>
        </is>
      </c>
    </row>
    <row r="35">
      <c r="A35" s="16" t="inlineStr">
        <is>
          <t>UART-BR-003</t>
        </is>
      </c>
      <c r="B35" s="16" t="inlineStr">
        <is>
          <t>BR</t>
        </is>
      </c>
      <c r="C35" s="16" t="inlineStr">
        <is>
          <t>functional</t>
        </is>
      </c>
      <c r="D35" s="16" t="inlineStr">
        <is>
          <t>The Buffered AXI-Lite UART shall reset BAUD_TUNING to C_BAUD_TUNING_RESET = round(G_DEFAULT_BAUD × 2³² / G_CLK_FREQ_HZ). At default values of G_DEFAULT_BAUD = 115,200 and G_CLK_FREQ_HZ = 100,000,000 this yields 0x004FA6D5 with error less than 0.0001%.</t>
        </is>
      </c>
      <c r="E35" s="16" t="inlineStr">
        <is>
          <t>BALU-RS-001</t>
        </is>
      </c>
      <c r="F35" s="16" t="inlineStr">
        <is>
          <t>§7.2</t>
        </is>
      </c>
      <c r="G35" s="16" t="inlineStr">
        <is>
          <t>test</t>
        </is>
      </c>
      <c r="H35" s="16" t="inlineStr">
        <is>
          <t>COV-001</t>
        </is>
      </c>
      <c r="I35" s="16" t="inlineStr">
        <is>
          <t>NCO tuning word sweep at 12 values from minimum (0x00000001) to maximum (0xFFFFFFFF) including all standard baud rates.</t>
        </is>
      </c>
      <c r="J35" s="16" t="inlineStr"/>
      <c r="K35" s="16" t="inlineStr">
        <is>
          <t>GENERATED</t>
        </is>
      </c>
      <c r="L35" s="16" t="inlineStr"/>
      <c r="M35" s="16" t="inlineStr"/>
      <c r="N35" s="16" t="inlineStr">
        <is>
          <t>Functional</t>
        </is>
      </c>
      <c r="O35" s="16" t="inlineStr">
        <is>
          <t>ALL</t>
        </is>
      </c>
      <c r="P35" s="16" t="inlineStr"/>
      <c r="Q35" s="16" t="inlineStr">
        <is>
          <t>vhdl/buffered_axi_lite_uart.vhd</t>
        </is>
      </c>
      <c r="R35" s="16" t="inlineStr">
        <is>
          <t>RTL</t>
        </is>
      </c>
      <c r="S35" s="16" t="inlineStr">
        <is>
          <t>NOT_RUN</t>
        </is>
      </c>
      <c r="T35" s="16" t="inlineStr"/>
      <c r="U35" s="16" t="inlineStr"/>
      <c r="V35" s="16" t="inlineStr"/>
      <c r="W35" s="16" t="inlineStr">
        <is>
          <t>NOT_RUN</t>
        </is>
      </c>
      <c r="X35" s="16" t="inlineStr"/>
      <c r="AA35" s="16" t="inlineStr"/>
      <c r="AB35" s="17">
        <f>IF(K35="WAIVED","WAIVED",IF(H35="","OPEN",IF(S35="BLOCKED","BLOCKED",IF(S35="FAIL","FAILING",IF(S35="PASS",IF(AA35&lt;&gt;"","AT_RISK",IF(AC35&lt;&gt;"","CLOSED","PASSING")),"COVERED")))))</f>
        <v/>
      </c>
      <c r="AC35" s="16" t="inlineStr"/>
      <c r="AD35" s="16" t="inlineStr"/>
      <c r="AE35" s="16" t="inlineStr"/>
      <c r="AF35" s="16" t="inlineStr">
        <is>
          <t>1.0.0</t>
        </is>
      </c>
      <c r="AG35" s="16" t="inlineStr">
        <is>
          <t>ZUBoard 1CG / Basys 3</t>
        </is>
      </c>
      <c r="AH35" s="16" t="inlineStr">
        <is>
          <t>BALU-RS-001 Rev 0.4</t>
        </is>
      </c>
    </row>
    <row r="36">
      <c r="A36" s="16" t="inlineStr">
        <is>
          <t>UART-BR-004</t>
        </is>
      </c>
      <c r="B36" s="16" t="inlineStr">
        <is>
          <t>BR</t>
        </is>
      </c>
      <c r="C36" s="16" t="inlineStr">
        <is>
          <t>functional</t>
        </is>
      </c>
      <c r="D36" s="16" t="inlineStr">
        <is>
          <t>The Buffered AXI-Lite UART shall silently ignore writes to BAUD_TUNING while UART_EN is asserted, leaving the accumulator tuning word unchanged.</t>
        </is>
      </c>
      <c r="E36" s="16" t="inlineStr">
        <is>
          <t>BALU-RS-001</t>
        </is>
      </c>
      <c r="F36" s="16" t="inlineStr">
        <is>
          <t>§7.2</t>
        </is>
      </c>
      <c r="G36" s="16" t="inlineStr">
        <is>
          <t>test</t>
        </is>
      </c>
      <c r="H36" s="16" t="inlineStr"/>
      <c r="I36" s="16" t="inlineStr"/>
      <c r="J36" s="16" t="inlineStr"/>
      <c r="K36" s="16" t="inlineStr">
        <is>
          <t>GENERATED</t>
        </is>
      </c>
      <c r="L36" s="16" t="inlineStr"/>
      <c r="M36" s="16" t="inlineStr"/>
      <c r="N36" s="16" t="inlineStr">
        <is>
          <t>Functional</t>
        </is>
      </c>
      <c r="O36" s="16" t="inlineStr">
        <is>
          <t>ALL</t>
        </is>
      </c>
      <c r="P36" s="16" t="inlineStr"/>
      <c r="Q36" s="16" t="inlineStr">
        <is>
          <t>vhdl/buffered_axi_lite_uart.vhd</t>
        </is>
      </c>
      <c r="R36" s="16" t="inlineStr">
        <is>
          <t>RTL</t>
        </is>
      </c>
      <c r="S36" s="16" t="inlineStr">
        <is>
          <t>NOT_RUN</t>
        </is>
      </c>
      <c r="T36" s="16" t="inlineStr"/>
      <c r="U36" s="16" t="inlineStr"/>
      <c r="V36" s="16" t="inlineStr"/>
      <c r="W36" s="16" t="inlineStr">
        <is>
          <t>NOT_RUN</t>
        </is>
      </c>
      <c r="X36" s="16" t="inlineStr"/>
      <c r="AA36" s="16" t="inlineStr"/>
      <c r="AB36" s="17">
        <f>IF(K36="WAIVED","WAIVED",IF(H36="","OPEN",IF(S36="BLOCKED","BLOCKED",IF(S36="FAIL","FAILING",IF(S36="PASS",IF(AA36&lt;&gt;"","AT_RISK",IF(AC36&lt;&gt;"","CLOSED","PASSING")),"COVERED")))))</f>
        <v/>
      </c>
      <c r="AC36" s="16" t="inlineStr"/>
      <c r="AD36" s="16" t="inlineStr"/>
      <c r="AE36" s="16" t="inlineStr"/>
      <c r="AF36" s="16" t="inlineStr">
        <is>
          <t>1.0.0</t>
        </is>
      </c>
      <c r="AG36" s="16" t="inlineStr">
        <is>
          <t>ZUBoard 1CG / Basys 3</t>
        </is>
      </c>
      <c r="AH36" s="16" t="inlineStr">
        <is>
          <t>BALU-RS-001 Rev 0.4</t>
        </is>
      </c>
    </row>
    <row r="37">
      <c r="A37" s="16" t="inlineStr">
        <is>
          <t>UART-BR-005</t>
        </is>
      </c>
      <c r="B37" s="16" t="inlineStr">
        <is>
          <t>BR</t>
        </is>
      </c>
      <c r="C37" s="16" t="inlineStr">
        <is>
          <t>functional</t>
        </is>
      </c>
      <c r="D37" s="16" t="inlineStr">
        <is>
          <t>The Buffered AXI-Lite UART shall disable baud clock generation when BAUD_TUNING = 0x00000000. No baud clock pulses shall be produced and no UART framing activity shall occur.</t>
        </is>
      </c>
      <c r="E37" s="16" t="inlineStr">
        <is>
          <t>BALU-RS-001</t>
        </is>
      </c>
      <c r="F37" s="16" t="inlineStr">
        <is>
          <t>§7.2</t>
        </is>
      </c>
      <c r="G37" s="16" t="inlineStr">
        <is>
          <t>test</t>
        </is>
      </c>
      <c r="H37" s="16" t="inlineStr">
        <is>
          <t>COV-001</t>
        </is>
      </c>
      <c r="I37" s="16" t="inlineStr">
        <is>
          <t>NCO tuning word sweep at 12 values from minimum (0x00000001) to maximum (0xFFFFFFFF) including all standard baud rates.</t>
        </is>
      </c>
      <c r="J37" s="16" t="inlineStr"/>
      <c r="K37" s="16" t="inlineStr">
        <is>
          <t>GENERATED</t>
        </is>
      </c>
      <c r="L37" s="16" t="inlineStr"/>
      <c r="M37" s="16" t="inlineStr"/>
      <c r="N37" s="16" t="inlineStr">
        <is>
          <t>Functional</t>
        </is>
      </c>
      <c r="O37" s="16" t="inlineStr">
        <is>
          <t>ALL</t>
        </is>
      </c>
      <c r="P37" s="16" t="inlineStr"/>
      <c r="Q37" s="16" t="inlineStr">
        <is>
          <t>vhdl/buffered_axi_lite_uart.vhd</t>
        </is>
      </c>
      <c r="R37" s="16" t="inlineStr">
        <is>
          <t>RTL</t>
        </is>
      </c>
      <c r="S37" s="16" t="inlineStr">
        <is>
          <t>NOT_RUN</t>
        </is>
      </c>
      <c r="T37" s="16" t="inlineStr"/>
      <c r="U37" s="16" t="inlineStr"/>
      <c r="V37" s="16" t="inlineStr"/>
      <c r="W37" s="16" t="inlineStr">
        <is>
          <t>NOT_RUN</t>
        </is>
      </c>
      <c r="X37" s="16" t="inlineStr"/>
      <c r="AA37" s="16" t="inlineStr"/>
      <c r="AB37" s="17">
        <f>IF(K37="WAIVED","WAIVED",IF(H37="","OPEN",IF(S37="BLOCKED","BLOCKED",IF(S37="FAIL","FAILING",IF(S37="PASS",IF(AA37&lt;&gt;"","AT_RISK",IF(AC37&lt;&gt;"","CLOSED","PASSING")),"COVERED")))))</f>
        <v/>
      </c>
      <c r="AC37" s="16" t="inlineStr"/>
      <c r="AD37" s="16" t="inlineStr"/>
      <c r="AE37" s="16" t="inlineStr"/>
      <c r="AF37" s="16" t="inlineStr">
        <is>
          <t>1.0.0</t>
        </is>
      </c>
      <c r="AG37" s="16" t="inlineStr">
        <is>
          <t>ZUBoard 1CG / Basys 3</t>
        </is>
      </c>
      <c r="AH37" s="16" t="inlineStr">
        <is>
          <t>BALU-RS-001 Rev 0.4</t>
        </is>
      </c>
    </row>
    <row r="38">
      <c r="A38" s="16" t="inlineStr">
        <is>
          <t>UART-BR-006</t>
        </is>
      </c>
      <c r="B38" s="16" t="inlineStr">
        <is>
          <t>BR</t>
        </is>
      </c>
      <c r="C38" s="16" t="inlineStr">
        <is>
          <t>functional</t>
        </is>
      </c>
      <c r="D38" s="16" t="inlineStr">
        <is>
          <t>The Buffered AXI-Lite UART shall produce the minimum supported baud rate without undefined behavior when BAUD_TUNING = 0x00000001.</t>
        </is>
      </c>
      <c r="E38" s="16" t="inlineStr">
        <is>
          <t>BALU-RS-001</t>
        </is>
      </c>
      <c r="F38" s="16" t="inlineStr">
        <is>
          <t>§7.2</t>
        </is>
      </c>
      <c r="G38" s="16" t="inlineStr">
        <is>
          <t>test</t>
        </is>
      </c>
      <c r="H38" s="16" t="inlineStr">
        <is>
          <t>COV-001</t>
        </is>
      </c>
      <c r="I38" s="16" t="inlineStr">
        <is>
          <t>NCO tuning word sweep at 12 values from minimum (0x00000001) to maximum (0xFFFFFFFF) including all standard baud rates.</t>
        </is>
      </c>
      <c r="J38" s="16" t="inlineStr"/>
      <c r="K38" s="16" t="inlineStr">
        <is>
          <t>GENERATED</t>
        </is>
      </c>
      <c r="L38" s="16" t="inlineStr"/>
      <c r="M38" s="16" t="inlineStr"/>
      <c r="N38" s="16" t="inlineStr">
        <is>
          <t>Functional</t>
        </is>
      </c>
      <c r="O38" s="16" t="inlineStr">
        <is>
          <t>ALL</t>
        </is>
      </c>
      <c r="P38" s="16" t="inlineStr"/>
      <c r="Q38" s="16" t="inlineStr">
        <is>
          <t>vhdl/buffered_axi_lite_uart.vhd</t>
        </is>
      </c>
      <c r="R38" s="16" t="inlineStr">
        <is>
          <t>RTL</t>
        </is>
      </c>
      <c r="S38" s="16" t="inlineStr">
        <is>
          <t>NOT_RUN</t>
        </is>
      </c>
      <c r="T38" s="16" t="inlineStr"/>
      <c r="U38" s="16" t="inlineStr"/>
      <c r="V38" s="16" t="inlineStr"/>
      <c r="W38" s="16" t="inlineStr">
        <is>
          <t>NOT_RUN</t>
        </is>
      </c>
      <c r="X38" s="16" t="inlineStr"/>
      <c r="AA38" s="16" t="inlineStr"/>
      <c r="AB38" s="17">
        <f>IF(K38="WAIVED","WAIVED",IF(H38="","OPEN",IF(S38="BLOCKED","BLOCKED",IF(S38="FAIL","FAILING",IF(S38="PASS",IF(AA38&lt;&gt;"","AT_RISK",IF(AC38&lt;&gt;"","CLOSED","PASSING")),"COVERED")))))</f>
        <v/>
      </c>
      <c r="AC38" s="16" t="inlineStr"/>
      <c r="AD38" s="16" t="inlineStr"/>
      <c r="AE38" s="16" t="inlineStr"/>
      <c r="AF38" s="16" t="inlineStr">
        <is>
          <t>1.0.0</t>
        </is>
      </c>
      <c r="AG38" s="16" t="inlineStr">
        <is>
          <t>ZUBoard 1CG / Basys 3</t>
        </is>
      </c>
      <c r="AH38" s="16" t="inlineStr">
        <is>
          <t>BALU-RS-001 Rev 0.4</t>
        </is>
      </c>
    </row>
    <row r="39">
      <c r="A39" s="16" t="inlineStr">
        <is>
          <t>UART-FF-001</t>
        </is>
      </c>
      <c r="B39" s="16" t="inlineStr">
        <is>
          <t>FF</t>
        </is>
      </c>
      <c r="C39" s="16" t="inlineStr">
        <is>
          <t>functional</t>
        </is>
      </c>
      <c r="D39" s="16" t="inlineStr">
        <is>
          <t>The Buffered AXI-Lite UART shall support 8 data bits per frame.</t>
        </is>
      </c>
      <c r="E39" s="16" t="inlineStr">
        <is>
          <t>BALU-RS-001</t>
        </is>
      </c>
      <c r="F39" s="16" t="inlineStr">
        <is>
          <t>§7.3</t>
        </is>
      </c>
      <c r="G39" s="16" t="inlineStr">
        <is>
          <t>test</t>
        </is>
      </c>
      <c r="H39" s="16" t="inlineStr">
        <is>
          <t>COV-017</t>
        </is>
      </c>
      <c r="I39" s="16" t="inlineStr">
        <is>
          <t>Structural inspection: verify 8-bit data frames transmitted and received, AXI data width=32, address width sufficient, single-beat transactions only.</t>
        </is>
      </c>
      <c r="J39" s="16" t="inlineStr"/>
      <c r="K39" s="16" t="inlineStr">
        <is>
          <t>GENERATED</t>
        </is>
      </c>
      <c r="L39" s="16" t="inlineStr"/>
      <c r="M39" s="16" t="inlineStr"/>
      <c r="N39" s="16" t="inlineStr">
        <is>
          <t>Functional</t>
        </is>
      </c>
      <c r="O39" s="16" t="inlineStr">
        <is>
          <t>ALL</t>
        </is>
      </c>
      <c r="P39" s="16" t="inlineStr"/>
      <c r="Q39" s="16" t="inlineStr">
        <is>
          <t>vhdl/buffered_axi_lite_uart.vhd</t>
        </is>
      </c>
      <c r="R39" s="16" t="inlineStr">
        <is>
          <t>RTL</t>
        </is>
      </c>
      <c r="S39" s="16" t="inlineStr">
        <is>
          <t>NOT_RUN</t>
        </is>
      </c>
      <c r="T39" s="16" t="inlineStr"/>
      <c r="U39" s="16" t="inlineStr"/>
      <c r="V39" s="16" t="inlineStr"/>
      <c r="W39" s="16" t="inlineStr">
        <is>
          <t>NOT_RUN</t>
        </is>
      </c>
      <c r="X39" s="16" t="inlineStr"/>
      <c r="AA39" s="16" t="inlineStr"/>
      <c r="AB39" s="17">
        <f>IF(K39="WAIVED","WAIVED",IF(H39="","OPEN",IF(S39="BLOCKED","BLOCKED",IF(S39="FAIL","FAILING",IF(S39="PASS",IF(AA39&lt;&gt;"","AT_RISK",IF(AC39&lt;&gt;"","CLOSED","PASSING")),"COVERED")))))</f>
        <v/>
      </c>
      <c r="AC39" s="16" t="inlineStr"/>
      <c r="AD39" s="16" t="inlineStr"/>
      <c r="AE39" s="16" t="inlineStr"/>
      <c r="AF39" s="16" t="inlineStr">
        <is>
          <t>1.0.0</t>
        </is>
      </c>
      <c r="AG39" s="16" t="inlineStr">
        <is>
          <t>ZUBoard 1CG / Basys 3</t>
        </is>
      </c>
      <c r="AH39" s="16" t="inlineStr">
        <is>
          <t>BALU-RS-001 Rev 0.4</t>
        </is>
      </c>
    </row>
    <row r="40">
      <c r="A40" s="16" t="inlineStr">
        <is>
          <t>UART-FF-002</t>
        </is>
      </c>
      <c r="B40" s="16" t="inlineStr">
        <is>
          <t>FF</t>
        </is>
      </c>
      <c r="C40" s="16" t="inlineStr">
        <is>
          <t>functional</t>
        </is>
      </c>
      <c r="D40" s="16" t="inlineStr">
        <is>
          <t>The Buffered AXI-Lite UART shall append one stop bit per transmitted frame when STOP_BITS = 0.</t>
        </is>
      </c>
      <c r="E40" s="16" t="inlineStr">
        <is>
          <t>BALU-RS-001</t>
        </is>
      </c>
      <c r="F40" s="16" t="inlineStr">
        <is>
          <t>§7.3</t>
        </is>
      </c>
      <c r="G40" s="16" t="inlineStr">
        <is>
          <t>test</t>
        </is>
      </c>
      <c r="H40" s="16" t="inlineStr">
        <is>
          <t>COV-003</t>
        </is>
      </c>
      <c r="I40" s="16" t="inlineStr">
        <is>
          <t>Both stop bit configurations (1 and 2 stop bits) exercised in LOOP_EN loopback with frame integrity check.</t>
        </is>
      </c>
      <c r="J40" s="16" t="inlineStr"/>
      <c r="K40" s="16" t="inlineStr">
        <is>
          <t>GENERATED</t>
        </is>
      </c>
      <c r="L40" s="16" t="inlineStr"/>
      <c r="M40" s="16" t="inlineStr"/>
      <c r="N40" s="16" t="inlineStr">
        <is>
          <t>Functional</t>
        </is>
      </c>
      <c r="O40" s="16" t="inlineStr">
        <is>
          <t>ALL</t>
        </is>
      </c>
      <c r="P40" s="16" t="inlineStr"/>
      <c r="Q40" s="16" t="inlineStr">
        <is>
          <t>vhdl/buffered_axi_lite_uart.vhd</t>
        </is>
      </c>
      <c r="R40" s="16" t="inlineStr">
        <is>
          <t>RTL</t>
        </is>
      </c>
      <c r="S40" s="16" t="inlineStr">
        <is>
          <t>NOT_RUN</t>
        </is>
      </c>
      <c r="T40" s="16" t="inlineStr"/>
      <c r="U40" s="16" t="inlineStr"/>
      <c r="V40" s="16" t="inlineStr"/>
      <c r="W40" s="16" t="inlineStr">
        <is>
          <t>NOT_RUN</t>
        </is>
      </c>
      <c r="X40" s="16" t="inlineStr"/>
      <c r="AA40" s="16" t="inlineStr"/>
      <c r="AB40" s="17">
        <f>IF(K40="WAIVED","WAIVED",IF(H40="","OPEN",IF(S40="BLOCKED","BLOCKED",IF(S40="FAIL","FAILING",IF(S40="PASS",IF(AA40&lt;&gt;"","AT_RISK",IF(AC40&lt;&gt;"","CLOSED","PASSING")),"COVERED")))))</f>
        <v/>
      </c>
      <c r="AC40" s="16" t="inlineStr"/>
      <c r="AD40" s="16" t="inlineStr"/>
      <c r="AE40" s="16" t="inlineStr"/>
      <c r="AF40" s="16" t="inlineStr">
        <is>
          <t>1.0.0</t>
        </is>
      </c>
      <c r="AG40" s="16" t="inlineStr">
        <is>
          <t>ZUBoard 1CG / Basys 3</t>
        </is>
      </c>
      <c r="AH40" s="16" t="inlineStr">
        <is>
          <t>BALU-RS-001 Rev 0.4</t>
        </is>
      </c>
    </row>
    <row r="41">
      <c r="A41" s="16" t="inlineStr">
        <is>
          <t>UART-FF-003</t>
        </is>
      </c>
      <c r="B41" s="16" t="inlineStr">
        <is>
          <t>FF</t>
        </is>
      </c>
      <c r="C41" s="16" t="inlineStr">
        <is>
          <t>functional</t>
        </is>
      </c>
      <c r="D41" s="16" t="inlineStr">
        <is>
          <t>The Buffered AXI-Lite UART shall append two stop bits per transmitted frame when STOP_BITS = 1.</t>
        </is>
      </c>
      <c r="E41" s="16" t="inlineStr">
        <is>
          <t>BALU-RS-001</t>
        </is>
      </c>
      <c r="F41" s="16" t="inlineStr">
        <is>
          <t>§7.3</t>
        </is>
      </c>
      <c r="G41" s="16" t="inlineStr">
        <is>
          <t>test</t>
        </is>
      </c>
      <c r="H41" s="16" t="inlineStr">
        <is>
          <t>COV-003</t>
        </is>
      </c>
      <c r="I41" s="16" t="inlineStr">
        <is>
          <t>Both stop bit configurations (1 and 2 stop bits) exercised in LOOP_EN loopback with frame integrity check.</t>
        </is>
      </c>
      <c r="J41" s="16" t="inlineStr"/>
      <c r="K41" s="16" t="inlineStr">
        <is>
          <t>GENERATED</t>
        </is>
      </c>
      <c r="L41" s="16" t="inlineStr"/>
      <c r="M41" s="16" t="inlineStr"/>
      <c r="N41" s="16" t="inlineStr">
        <is>
          <t>Functional</t>
        </is>
      </c>
      <c r="O41" s="16" t="inlineStr">
        <is>
          <t>ALL</t>
        </is>
      </c>
      <c r="P41" s="16" t="inlineStr"/>
      <c r="Q41" s="16" t="inlineStr">
        <is>
          <t>vhdl/buffered_axi_lite_uart.vhd</t>
        </is>
      </c>
      <c r="R41" s="16" t="inlineStr">
        <is>
          <t>RTL</t>
        </is>
      </c>
      <c r="S41" s="16" t="inlineStr">
        <is>
          <t>NOT_RUN</t>
        </is>
      </c>
      <c r="T41" s="16" t="inlineStr"/>
      <c r="U41" s="16" t="inlineStr"/>
      <c r="V41" s="16" t="inlineStr"/>
      <c r="W41" s="16" t="inlineStr">
        <is>
          <t>NOT_RUN</t>
        </is>
      </c>
      <c r="X41" s="16" t="inlineStr"/>
      <c r="AA41" s="16" t="inlineStr"/>
      <c r="AB41" s="17">
        <f>IF(K41="WAIVED","WAIVED",IF(H41="","OPEN",IF(S41="BLOCKED","BLOCKED",IF(S41="FAIL","FAILING",IF(S41="PASS",IF(AA41&lt;&gt;"","AT_RISK",IF(AC41&lt;&gt;"","CLOSED","PASSING")),"COVERED")))))</f>
        <v/>
      </c>
      <c r="AC41" s="16" t="inlineStr"/>
      <c r="AD41" s="16" t="inlineStr"/>
      <c r="AE41" s="16" t="inlineStr"/>
      <c r="AF41" s="16" t="inlineStr">
        <is>
          <t>1.0.0</t>
        </is>
      </c>
      <c r="AG41" s="16" t="inlineStr">
        <is>
          <t>ZUBoard 1CG / Basys 3</t>
        </is>
      </c>
      <c r="AH41" s="16" t="inlineStr">
        <is>
          <t>BALU-RS-001 Rev 0.4</t>
        </is>
      </c>
    </row>
    <row r="42">
      <c r="A42" s="16" t="inlineStr">
        <is>
          <t>UART-FF-004</t>
        </is>
      </c>
      <c r="B42" s="16" t="inlineStr">
        <is>
          <t>FF</t>
        </is>
      </c>
      <c r="C42" s="16" t="inlineStr">
        <is>
          <t>functional</t>
        </is>
      </c>
      <c r="D42" s="16" t="inlineStr">
        <is>
          <t>The Buffered AXI-Lite UART shall accept frames with one stop bit on receive regardless of the STOP_BITS setting.</t>
        </is>
      </c>
      <c r="E42" s="16" t="inlineStr">
        <is>
          <t>BALU-RS-001</t>
        </is>
      </c>
      <c r="F42" s="16" t="inlineStr">
        <is>
          <t>§7.3</t>
        </is>
      </c>
      <c r="G42" s="16" t="inlineStr">
        <is>
          <t>test</t>
        </is>
      </c>
      <c r="H42" s="16" t="inlineStr">
        <is>
          <t>COV-003</t>
        </is>
      </c>
      <c r="I42" s="16" t="inlineStr">
        <is>
          <t>Both stop bit configurations (1 and 2 stop bits) exercised in LOOP_EN loopback with frame integrity check.</t>
        </is>
      </c>
      <c r="J42" s="16" t="inlineStr"/>
      <c r="K42" s="16" t="inlineStr">
        <is>
          <t>GENERATED</t>
        </is>
      </c>
      <c r="L42" s="16" t="inlineStr"/>
      <c r="M42" s="16" t="inlineStr"/>
      <c r="N42" s="16" t="inlineStr">
        <is>
          <t>Functional</t>
        </is>
      </c>
      <c r="O42" s="16" t="inlineStr">
        <is>
          <t>ALL</t>
        </is>
      </c>
      <c r="P42" s="16" t="inlineStr"/>
      <c r="Q42" s="16" t="inlineStr">
        <is>
          <t>vhdl/buffered_axi_lite_uart.vhd</t>
        </is>
      </c>
      <c r="R42" s="16" t="inlineStr">
        <is>
          <t>RTL</t>
        </is>
      </c>
      <c r="S42" s="16" t="inlineStr">
        <is>
          <t>NOT_RUN</t>
        </is>
      </c>
      <c r="T42" s="16" t="inlineStr"/>
      <c r="U42" s="16" t="inlineStr"/>
      <c r="V42" s="16" t="inlineStr"/>
      <c r="W42" s="16" t="inlineStr">
        <is>
          <t>NOT_RUN</t>
        </is>
      </c>
      <c r="X42" s="16" t="inlineStr"/>
      <c r="AA42" s="16" t="inlineStr"/>
      <c r="AB42" s="17">
        <f>IF(K42="WAIVED","WAIVED",IF(H42="","OPEN",IF(S42="BLOCKED","BLOCKED",IF(S42="FAIL","FAILING",IF(S42="PASS",IF(AA42&lt;&gt;"","AT_RISK",IF(AC42&lt;&gt;"","CLOSED","PASSING")),"COVERED")))))</f>
        <v/>
      </c>
      <c r="AC42" s="16" t="inlineStr"/>
      <c r="AD42" s="16" t="inlineStr"/>
      <c r="AE42" s="16" t="inlineStr"/>
      <c r="AF42" s="16" t="inlineStr">
        <is>
          <t>1.0.0</t>
        </is>
      </c>
      <c r="AG42" s="16" t="inlineStr">
        <is>
          <t>ZUBoard 1CG / Basys 3</t>
        </is>
      </c>
      <c r="AH42" s="16" t="inlineStr">
        <is>
          <t>BALU-RS-001 Rev 0.4</t>
        </is>
      </c>
    </row>
    <row r="43">
      <c r="A43" s="16" t="inlineStr">
        <is>
          <t>UART-FF-005</t>
        </is>
      </c>
      <c r="B43" s="16" t="inlineStr">
        <is>
          <t>FF</t>
        </is>
      </c>
      <c r="C43" s="16" t="inlineStr">
        <is>
          <t>functional</t>
        </is>
      </c>
      <c r="D43" s="16" t="inlineStr">
        <is>
          <t>The Buffered AXI-Lite UART shall transmit and accept frames with no parity bit when PARITY = 2'b00.</t>
        </is>
      </c>
      <c r="E43" s="16" t="inlineStr">
        <is>
          <t>BALU-RS-001</t>
        </is>
      </c>
      <c r="F43" s="16" t="inlineStr">
        <is>
          <t>§7.3</t>
        </is>
      </c>
      <c r="G43" s="16" t="inlineStr">
        <is>
          <t>test</t>
        </is>
      </c>
      <c r="H43" s="16" t="inlineStr">
        <is>
          <t>COV-002</t>
        </is>
      </c>
      <c r="I43" s="16" t="inlineStr">
        <is>
          <t>All four parity modes (00/01/10/11) exercised independently in LOOP_EN loopback; inject parity error bit for odd and even modes.</t>
        </is>
      </c>
      <c r="J43" s="16" t="inlineStr"/>
      <c r="K43" s="16" t="inlineStr">
        <is>
          <t>GENERATED</t>
        </is>
      </c>
      <c r="L43" s="16" t="inlineStr"/>
      <c r="M43" s="16" t="inlineStr"/>
      <c r="N43" s="16" t="inlineStr">
        <is>
          <t>Functional</t>
        </is>
      </c>
      <c r="O43" s="16" t="inlineStr">
        <is>
          <t>ALL</t>
        </is>
      </c>
      <c r="P43" s="16" t="inlineStr"/>
      <c r="Q43" s="16" t="inlineStr">
        <is>
          <t>vhdl/buffered_axi_lite_uart.vhd</t>
        </is>
      </c>
      <c r="R43" s="16" t="inlineStr">
        <is>
          <t>RTL</t>
        </is>
      </c>
      <c r="S43" s="16" t="inlineStr">
        <is>
          <t>NOT_RUN</t>
        </is>
      </c>
      <c r="T43" s="16" t="inlineStr"/>
      <c r="U43" s="16" t="inlineStr"/>
      <c r="V43" s="16" t="inlineStr"/>
      <c r="W43" s="16" t="inlineStr">
        <is>
          <t>NOT_RUN</t>
        </is>
      </c>
      <c r="X43" s="16" t="inlineStr"/>
      <c r="AA43" s="16" t="inlineStr"/>
      <c r="AB43" s="17">
        <f>IF(K43="WAIVED","WAIVED",IF(H43="","OPEN",IF(S43="BLOCKED","BLOCKED",IF(S43="FAIL","FAILING",IF(S43="PASS",IF(AA43&lt;&gt;"","AT_RISK",IF(AC43&lt;&gt;"","CLOSED","PASSING")),"COVERED")))))</f>
        <v/>
      </c>
      <c r="AC43" s="16" t="inlineStr"/>
      <c r="AD43" s="16" t="inlineStr"/>
      <c r="AE43" s="16" t="inlineStr"/>
      <c r="AF43" s="16" t="inlineStr">
        <is>
          <t>1.0.0</t>
        </is>
      </c>
      <c r="AG43" s="16" t="inlineStr">
        <is>
          <t>ZUBoard 1CG / Basys 3</t>
        </is>
      </c>
      <c r="AH43" s="16" t="inlineStr">
        <is>
          <t>BALU-RS-001 Rev 0.4</t>
        </is>
      </c>
    </row>
    <row r="44">
      <c r="A44" s="16" t="inlineStr">
        <is>
          <t>UART-FF-006</t>
        </is>
      </c>
      <c r="B44" s="16" t="inlineStr">
        <is>
          <t>FF</t>
        </is>
      </c>
      <c r="C44" s="16" t="inlineStr">
        <is>
          <t>functional</t>
        </is>
      </c>
      <c r="D44" s="16" t="inlineStr">
        <is>
          <t>The Buffered AXI-Lite UART shall generate and verify odd parity on every frame when PARITY = 2'b01. A parity mismatch shall set PARITY_ERR in STATUS and INT_STATUS.</t>
        </is>
      </c>
      <c r="E44" s="16" t="inlineStr">
        <is>
          <t>BALU-RS-001</t>
        </is>
      </c>
      <c r="F44" s="16" t="inlineStr">
        <is>
          <t>§7.3</t>
        </is>
      </c>
      <c r="G44" s="16" t="inlineStr">
        <is>
          <t>test</t>
        </is>
      </c>
      <c r="H44" s="16" t="inlineStr">
        <is>
          <t>COV-002</t>
        </is>
      </c>
      <c r="I44" s="16" t="inlineStr">
        <is>
          <t>All four parity modes (00/01/10/11) exercised independently in LOOP_EN loopback; inject parity error bit for odd and even modes.</t>
        </is>
      </c>
      <c r="J44" s="16" t="inlineStr"/>
      <c r="K44" s="16" t="inlineStr">
        <is>
          <t>GENERATED</t>
        </is>
      </c>
      <c r="L44" s="16" t="inlineStr"/>
      <c r="M44" s="16" t="inlineStr"/>
      <c r="N44" s="16" t="inlineStr">
        <is>
          <t>Functional</t>
        </is>
      </c>
      <c r="O44" s="16" t="inlineStr">
        <is>
          <t>ALL</t>
        </is>
      </c>
      <c r="P44" s="16" t="inlineStr"/>
      <c r="Q44" s="16" t="inlineStr">
        <is>
          <t>vhdl/buffered_axi_lite_uart.vhd</t>
        </is>
      </c>
      <c r="R44" s="16" t="inlineStr">
        <is>
          <t>RTL</t>
        </is>
      </c>
      <c r="S44" s="16" t="inlineStr">
        <is>
          <t>NOT_RUN</t>
        </is>
      </c>
      <c r="T44" s="16" t="inlineStr"/>
      <c r="U44" s="16" t="inlineStr"/>
      <c r="V44" s="16" t="inlineStr"/>
      <c r="W44" s="16" t="inlineStr">
        <is>
          <t>NOT_RUN</t>
        </is>
      </c>
      <c r="X44" s="16" t="inlineStr"/>
      <c r="AA44" s="16" t="inlineStr"/>
      <c r="AB44" s="17">
        <f>IF(K44="WAIVED","WAIVED",IF(H44="","OPEN",IF(S44="BLOCKED","BLOCKED",IF(S44="FAIL","FAILING",IF(S44="PASS",IF(AA44&lt;&gt;"","AT_RISK",IF(AC44&lt;&gt;"","CLOSED","PASSING")),"COVERED")))))</f>
        <v/>
      </c>
      <c r="AC44" s="16" t="inlineStr"/>
      <c r="AD44" s="16" t="inlineStr"/>
      <c r="AE44" s="16" t="inlineStr"/>
      <c r="AF44" s="16" t="inlineStr">
        <is>
          <t>1.0.0</t>
        </is>
      </c>
      <c r="AG44" s="16" t="inlineStr">
        <is>
          <t>ZUBoard 1CG / Basys 3</t>
        </is>
      </c>
      <c r="AH44" s="16" t="inlineStr">
        <is>
          <t>BALU-RS-001 Rev 0.4</t>
        </is>
      </c>
    </row>
    <row r="45">
      <c r="A45" s="16" t="inlineStr">
        <is>
          <t>UART-FF-007</t>
        </is>
      </c>
      <c r="B45" s="16" t="inlineStr">
        <is>
          <t>FF</t>
        </is>
      </c>
      <c r="C45" s="16" t="inlineStr">
        <is>
          <t>functional</t>
        </is>
      </c>
      <c r="D45" s="16" t="inlineStr">
        <is>
          <t>The Buffered AXI-Lite UART shall generate and verify even parity on every frame when PARITY = 2'b10. A parity mismatch shall set PARITY_ERR in STATUS and INT_STATUS.</t>
        </is>
      </c>
      <c r="E45" s="16" t="inlineStr">
        <is>
          <t>BALU-RS-001</t>
        </is>
      </c>
      <c r="F45" s="16" t="inlineStr">
        <is>
          <t>§7.3</t>
        </is>
      </c>
      <c r="G45" s="16" t="inlineStr">
        <is>
          <t>test</t>
        </is>
      </c>
      <c r="H45" s="16" t="inlineStr">
        <is>
          <t>COV-002</t>
        </is>
      </c>
      <c r="I45" s="16" t="inlineStr">
        <is>
          <t>All four parity modes (00/01/10/11) exercised independently in LOOP_EN loopback; inject parity error bit for odd and even modes.</t>
        </is>
      </c>
      <c r="J45" s="16" t="inlineStr"/>
      <c r="K45" s="16" t="inlineStr">
        <is>
          <t>GENERATED</t>
        </is>
      </c>
      <c r="L45" s="16" t="inlineStr"/>
      <c r="M45" s="16" t="inlineStr"/>
      <c r="N45" s="16" t="inlineStr">
        <is>
          <t>Functional</t>
        </is>
      </c>
      <c r="O45" s="16" t="inlineStr">
        <is>
          <t>ALL</t>
        </is>
      </c>
      <c r="P45" s="16" t="inlineStr"/>
      <c r="Q45" s="16" t="inlineStr">
        <is>
          <t>vhdl/buffered_axi_lite_uart.vhd</t>
        </is>
      </c>
      <c r="R45" s="16" t="inlineStr">
        <is>
          <t>RTL</t>
        </is>
      </c>
      <c r="S45" s="16" t="inlineStr">
        <is>
          <t>NOT_RUN</t>
        </is>
      </c>
      <c r="T45" s="16" t="inlineStr"/>
      <c r="U45" s="16" t="inlineStr"/>
      <c r="V45" s="16" t="inlineStr"/>
      <c r="W45" s="16" t="inlineStr">
        <is>
          <t>NOT_RUN</t>
        </is>
      </c>
      <c r="X45" s="16" t="inlineStr"/>
      <c r="AA45" s="16" t="inlineStr"/>
      <c r="AB45" s="17">
        <f>IF(K45="WAIVED","WAIVED",IF(H45="","OPEN",IF(S45="BLOCKED","BLOCKED",IF(S45="FAIL","FAILING",IF(S45="PASS",IF(AA45&lt;&gt;"","AT_RISK",IF(AC45&lt;&gt;"","CLOSED","PASSING")),"COVERED")))))</f>
        <v/>
      </c>
      <c r="AC45" s="16" t="inlineStr"/>
      <c r="AD45" s="16" t="inlineStr"/>
      <c r="AE45" s="16" t="inlineStr"/>
      <c r="AF45" s="16" t="inlineStr">
        <is>
          <t>1.0.0</t>
        </is>
      </c>
      <c r="AG45" s="16" t="inlineStr">
        <is>
          <t>ZUBoard 1CG / Basys 3</t>
        </is>
      </c>
      <c r="AH45" s="16" t="inlineStr">
        <is>
          <t>BALU-RS-001 Rev 0.4</t>
        </is>
      </c>
    </row>
    <row r="46">
      <c r="A46" s="16" t="inlineStr">
        <is>
          <t>UART-FF-008</t>
        </is>
      </c>
      <c r="B46" s="16" t="inlineStr">
        <is>
          <t>FF</t>
        </is>
      </c>
      <c r="C46" s="16" t="inlineStr">
        <is>
          <t>functional</t>
        </is>
      </c>
      <c r="D46" s="16" t="inlineStr">
        <is>
          <t>The Buffered AXI-Lite UART shall assert the parity bit in every transmitted frame when PARITY = 2'b11 (mark parity). On receive, a mark parity bit of logic 0 shall set PARITY_ERR in STATUS and INT_STATUS, as this indicates a line error or sender misconfiguration. This check is retained as a diagnostic in noise-sensitive environments where silent corruption is unacceptable.</t>
        </is>
      </c>
      <c r="E46" s="16" t="inlineStr">
        <is>
          <t>BALU-RS-001</t>
        </is>
      </c>
      <c r="F46" s="16" t="inlineStr">
        <is>
          <t>§7.3</t>
        </is>
      </c>
      <c r="G46" s="16" t="inlineStr">
        <is>
          <t>test</t>
        </is>
      </c>
      <c r="H46" s="16" t="inlineStr">
        <is>
          <t>COV-002</t>
        </is>
      </c>
      <c r="I46" s="16" t="inlineStr">
        <is>
          <t>All four parity modes (00/01/10/11) exercised independently in LOOP_EN loopback; inject parity error bit for odd and even modes.</t>
        </is>
      </c>
      <c r="J46" s="16" t="inlineStr"/>
      <c r="K46" s="16" t="inlineStr">
        <is>
          <t>GENERATED</t>
        </is>
      </c>
      <c r="L46" s="16" t="inlineStr"/>
      <c r="M46" s="16" t="inlineStr"/>
      <c r="N46" s="16" t="inlineStr">
        <is>
          <t>Functional</t>
        </is>
      </c>
      <c r="O46" s="16" t="inlineStr">
        <is>
          <t>ALL</t>
        </is>
      </c>
      <c r="P46" s="16" t="inlineStr"/>
      <c r="Q46" s="16" t="inlineStr">
        <is>
          <t>vhdl/buffered_axi_lite_uart.vhd</t>
        </is>
      </c>
      <c r="R46" s="16" t="inlineStr">
        <is>
          <t>RTL</t>
        </is>
      </c>
      <c r="S46" s="16" t="inlineStr">
        <is>
          <t>NOT_RUN</t>
        </is>
      </c>
      <c r="T46" s="16" t="inlineStr"/>
      <c r="U46" s="16" t="inlineStr"/>
      <c r="V46" s="16" t="inlineStr"/>
      <c r="W46" s="16" t="inlineStr">
        <is>
          <t>NOT_RUN</t>
        </is>
      </c>
      <c r="X46" s="16" t="inlineStr"/>
      <c r="AA46" s="16" t="inlineStr"/>
      <c r="AB46" s="17">
        <f>IF(K46="WAIVED","WAIVED",IF(H46="","OPEN",IF(S46="BLOCKED","BLOCKED",IF(S46="FAIL","FAILING",IF(S46="PASS",IF(AA46&lt;&gt;"","AT_RISK",IF(AC46&lt;&gt;"","CLOSED","PASSING")),"COVERED")))))</f>
        <v/>
      </c>
      <c r="AC46" s="16" t="inlineStr"/>
      <c r="AD46" s="16" t="inlineStr"/>
      <c r="AE46" s="16" t="inlineStr"/>
      <c r="AF46" s="16" t="inlineStr">
        <is>
          <t>1.0.0</t>
        </is>
      </c>
      <c r="AG46" s="16" t="inlineStr">
        <is>
          <t>ZUBoard 1CG / Basys 3</t>
        </is>
      </c>
      <c r="AH46" s="16" t="inlineStr">
        <is>
          <t>BALU-RS-001 Rev 0.4</t>
        </is>
      </c>
    </row>
    <row r="47">
      <c r="A47" s="16" t="inlineStr">
        <is>
          <t>UART-FF-009</t>
        </is>
      </c>
      <c r="B47" s="16" t="inlineStr">
        <is>
          <t>FF</t>
        </is>
      </c>
      <c r="C47" s="16" t="inlineStr">
        <is>
          <t>functional</t>
        </is>
      </c>
      <c r="D47" s="16" t="inlineStr">
        <is>
          <t>The Buffered AXI-Lite UART shall set PARITY_ERR in STATUS when a parity error is detected by the receiver. This flag shall remain set until the STATUS register is read.</t>
        </is>
      </c>
      <c r="E47" s="16" t="inlineStr">
        <is>
          <t>BALU-RS-001</t>
        </is>
      </c>
      <c r="F47" s="16" t="inlineStr">
        <is>
          <t>§7.3</t>
        </is>
      </c>
      <c r="G47" s="16" t="inlineStr">
        <is>
          <t>test</t>
        </is>
      </c>
      <c r="H47" s="16" t="inlineStr">
        <is>
          <t>COV-002</t>
        </is>
      </c>
      <c r="I47" s="16" t="inlineStr">
        <is>
          <t>All four parity modes (00/01/10/11) exercised independently in LOOP_EN loopback; inject parity error bit for odd and even modes.</t>
        </is>
      </c>
      <c r="J47" s="16" t="inlineStr"/>
      <c r="K47" s="16" t="inlineStr">
        <is>
          <t>GENERATED</t>
        </is>
      </c>
      <c r="L47" s="16" t="inlineStr"/>
      <c r="M47" s="16" t="inlineStr"/>
      <c r="N47" s="16" t="inlineStr">
        <is>
          <t>Functional</t>
        </is>
      </c>
      <c r="O47" s="16" t="inlineStr">
        <is>
          <t>ALL</t>
        </is>
      </c>
      <c r="P47" s="16" t="inlineStr"/>
      <c r="Q47" s="16" t="inlineStr">
        <is>
          <t>vhdl/buffered_axi_lite_uart.vhd</t>
        </is>
      </c>
      <c r="R47" s="16" t="inlineStr">
        <is>
          <t>RTL</t>
        </is>
      </c>
      <c r="S47" s="16" t="inlineStr">
        <is>
          <t>NOT_RUN</t>
        </is>
      </c>
      <c r="T47" s="16" t="inlineStr"/>
      <c r="U47" s="16" t="inlineStr"/>
      <c r="V47" s="16" t="inlineStr"/>
      <c r="W47" s="16" t="inlineStr">
        <is>
          <t>NOT_RUN</t>
        </is>
      </c>
      <c r="X47" s="16" t="inlineStr"/>
      <c r="AA47" s="16" t="inlineStr"/>
      <c r="AB47" s="17">
        <f>IF(K47="WAIVED","WAIVED",IF(H47="","OPEN",IF(S47="BLOCKED","BLOCKED",IF(S47="FAIL","FAILING",IF(S47="PASS",IF(AA47&lt;&gt;"","AT_RISK",IF(AC47&lt;&gt;"","CLOSED","PASSING")),"COVERED")))))</f>
        <v/>
      </c>
      <c r="AC47" s="16" t="inlineStr"/>
      <c r="AD47" s="16" t="inlineStr"/>
      <c r="AE47" s="16" t="inlineStr"/>
      <c r="AF47" s="16" t="inlineStr">
        <is>
          <t>1.0.0</t>
        </is>
      </c>
      <c r="AG47" s="16" t="inlineStr">
        <is>
          <t>ZUBoard 1CG / Basys 3</t>
        </is>
      </c>
      <c r="AH47" s="16" t="inlineStr">
        <is>
          <t>BALU-RS-001 Rev 0.4</t>
        </is>
      </c>
    </row>
    <row r="48">
      <c r="A48" s="16" t="inlineStr">
        <is>
          <t>UART-FIFO-001</t>
        </is>
      </c>
      <c r="B48" s="16" t="inlineStr">
        <is>
          <t>FIFO</t>
        </is>
      </c>
      <c r="C48" s="16" t="inlineStr">
        <is>
          <t>functional</t>
        </is>
      </c>
      <c r="D48" s="16" t="inlineStr">
        <is>
          <t>The Buffered AXI-Lite UART shall implement separate TX and RX FIFOs each with a depth of G_FIFO_DEPTH entries of 8 bits.</t>
        </is>
      </c>
      <c r="E48" s="16" t="inlineStr">
        <is>
          <t>BALU-RS-001</t>
        </is>
      </c>
      <c r="F48" s="16" t="inlineStr">
        <is>
          <t>§7.4</t>
        </is>
      </c>
      <c r="G48" s="16" t="inlineStr">
        <is>
          <t>inspection</t>
        </is>
      </c>
      <c r="H48" s="16" t="inlineStr">
        <is>
          <t>COV-017</t>
        </is>
      </c>
      <c r="I48" s="16" t="inlineStr">
        <is>
          <t>Structural inspection: verify 8-bit data frames transmitted and received, AXI data width=32, address width sufficient, single-beat transactions only.</t>
        </is>
      </c>
      <c r="J48" s="16" t="inlineStr"/>
      <c r="K48" s="16" t="inlineStr">
        <is>
          <t>GENERATED</t>
        </is>
      </c>
      <c r="L48" s="16" t="inlineStr"/>
      <c r="M48" s="16" t="inlineStr"/>
      <c r="N48" s="16" t="inlineStr">
        <is>
          <t>Functional</t>
        </is>
      </c>
      <c r="O48" s="16" t="inlineStr">
        <is>
          <t>ALL</t>
        </is>
      </c>
      <c r="P48" s="16" t="inlineStr"/>
      <c r="Q48" s="16" t="inlineStr">
        <is>
          <t>vhdl/buffered_axi_lite_uart.vhd</t>
        </is>
      </c>
      <c r="R48" s="16" t="inlineStr">
        <is>
          <t>RTL</t>
        </is>
      </c>
      <c r="S48" s="16" t="inlineStr">
        <is>
          <t>NOT_RUN</t>
        </is>
      </c>
      <c r="T48" s="16" t="inlineStr"/>
      <c r="U48" s="16" t="inlineStr"/>
      <c r="V48" s="16" t="inlineStr"/>
      <c r="W48" s="16" t="inlineStr">
        <is>
          <t>NOT_RUN</t>
        </is>
      </c>
      <c r="X48" s="16" t="inlineStr"/>
      <c r="AA48" s="16" t="inlineStr"/>
      <c r="AB48" s="17">
        <f>IF(K48="WAIVED","WAIVED",IF(H48="","OPEN",IF(S48="BLOCKED","BLOCKED",IF(S48="FAIL","FAILING",IF(S48="PASS",IF(AA48&lt;&gt;"","AT_RISK",IF(AC48&lt;&gt;"","CLOSED","PASSING")),"COVERED")))))</f>
        <v/>
      </c>
      <c r="AC48" s="16" t="inlineStr"/>
      <c r="AD48" s="16" t="inlineStr"/>
      <c r="AE48" s="16" t="inlineStr"/>
      <c r="AF48" s="16" t="inlineStr">
        <is>
          <t>1.0.0</t>
        </is>
      </c>
      <c r="AG48" s="16" t="inlineStr">
        <is>
          <t>ZUBoard 1CG / Basys 3</t>
        </is>
      </c>
      <c r="AH48" s="16" t="inlineStr">
        <is>
          <t>BALU-RS-001 Rev 0.4</t>
        </is>
      </c>
    </row>
    <row r="49">
      <c r="A49" s="16" t="inlineStr">
        <is>
          <t>UART-FIFO-002</t>
        </is>
      </c>
      <c r="B49" s="16" t="inlineStr">
        <is>
          <t>FIFO</t>
        </is>
      </c>
      <c r="C49" s="16" t="inlineStr">
        <is>
          <t>functional</t>
        </is>
      </c>
      <c r="D49" s="16" t="inlineStr">
        <is>
          <t>The Buffered AXI-Lite UART shall assert TX_FULL in STATUS when TX FIFO occupancy equals G_FIFO_DEPTH, and deassert it when occupancy falls below G_FIFO_DEPTH.</t>
        </is>
      </c>
      <c r="E49" s="16" t="inlineStr">
        <is>
          <t>BALU-RS-001</t>
        </is>
      </c>
      <c r="F49" s="16" t="inlineStr">
        <is>
          <t>§7.4</t>
        </is>
      </c>
      <c r="G49" s="16" t="inlineStr">
        <is>
          <t>test</t>
        </is>
      </c>
      <c r="H49" s="16" t="inlineStr">
        <is>
          <t>COV-005</t>
        </is>
      </c>
      <c r="I49" s="16" t="inlineStr">
        <is>
          <t>TX FIFO occupancy driven to 0, TX_THRESH-1, TX_THRESH, TX_THRESH+1, and G_FIFO_DEPTH to verify status flags and write-ignore behavior.</t>
        </is>
      </c>
      <c r="J49" s="16" t="inlineStr"/>
      <c r="K49" s="16" t="inlineStr">
        <is>
          <t>GENERATED</t>
        </is>
      </c>
      <c r="L49" s="16" t="inlineStr"/>
      <c r="M49" s="16" t="inlineStr"/>
      <c r="N49" s="16" t="inlineStr">
        <is>
          <t>Functional</t>
        </is>
      </c>
      <c r="O49" s="16" t="inlineStr">
        <is>
          <t>ALL</t>
        </is>
      </c>
      <c r="P49" s="16" t="inlineStr"/>
      <c r="Q49" s="16" t="inlineStr">
        <is>
          <t>vhdl/buffered_axi_lite_uart.vhd</t>
        </is>
      </c>
      <c r="R49" s="16" t="inlineStr">
        <is>
          <t>RTL</t>
        </is>
      </c>
      <c r="S49" s="16" t="inlineStr">
        <is>
          <t>NOT_RUN</t>
        </is>
      </c>
      <c r="T49" s="16" t="inlineStr"/>
      <c r="U49" s="16" t="inlineStr"/>
      <c r="V49" s="16" t="inlineStr"/>
      <c r="W49" s="16" t="inlineStr">
        <is>
          <t>NOT_RUN</t>
        </is>
      </c>
      <c r="X49" s="16" t="inlineStr"/>
      <c r="AA49" s="16" t="inlineStr"/>
      <c r="AB49" s="17">
        <f>IF(K49="WAIVED","WAIVED",IF(H49="","OPEN",IF(S49="BLOCKED","BLOCKED",IF(S49="FAIL","FAILING",IF(S49="PASS",IF(AA49&lt;&gt;"","AT_RISK",IF(AC49&lt;&gt;"","CLOSED","PASSING")),"COVERED")))))</f>
        <v/>
      </c>
      <c r="AC49" s="16" t="inlineStr"/>
      <c r="AD49" s="16" t="inlineStr"/>
      <c r="AE49" s="16" t="inlineStr"/>
      <c r="AF49" s="16" t="inlineStr">
        <is>
          <t>1.0.0</t>
        </is>
      </c>
      <c r="AG49" s="16" t="inlineStr">
        <is>
          <t>ZUBoard 1CG / Basys 3</t>
        </is>
      </c>
      <c r="AH49" s="16" t="inlineStr">
        <is>
          <t>BALU-RS-001 Rev 0.4</t>
        </is>
      </c>
    </row>
    <row r="50">
      <c r="A50" s="16" t="inlineStr">
        <is>
          <t>UART-FIFO-003</t>
        </is>
      </c>
      <c r="B50" s="16" t="inlineStr">
        <is>
          <t>FIFO</t>
        </is>
      </c>
      <c r="C50" s="16" t="inlineStr">
        <is>
          <t>functional</t>
        </is>
      </c>
      <c r="D50" s="16" t="inlineStr">
        <is>
          <t>The Buffered AXI-Lite UART shall assert TX_EMPTY in STATUS when TX FIFO occupancy equals zero, and deassert it when the first byte is written to the TX FIFO.</t>
        </is>
      </c>
      <c r="E50" s="16" t="inlineStr">
        <is>
          <t>BALU-RS-001</t>
        </is>
      </c>
      <c r="F50" s="16" t="inlineStr">
        <is>
          <t>§7.4</t>
        </is>
      </c>
      <c r="G50" s="16" t="inlineStr">
        <is>
          <t>test</t>
        </is>
      </c>
      <c r="H50" s="16" t="inlineStr">
        <is>
          <t>COV-005</t>
        </is>
      </c>
      <c r="I50" s="16" t="inlineStr">
        <is>
          <t>TX FIFO occupancy driven to 0, TX_THRESH-1, TX_THRESH, TX_THRESH+1, and G_FIFO_DEPTH to verify status flags and write-ignore behavior.</t>
        </is>
      </c>
      <c r="J50" s="16" t="inlineStr"/>
      <c r="K50" s="16" t="inlineStr">
        <is>
          <t>GENERATED</t>
        </is>
      </c>
      <c r="L50" s="16" t="inlineStr"/>
      <c r="M50" s="16" t="inlineStr"/>
      <c r="N50" s="16" t="inlineStr">
        <is>
          <t>Functional</t>
        </is>
      </c>
      <c r="O50" s="16" t="inlineStr">
        <is>
          <t>ALL</t>
        </is>
      </c>
      <c r="P50" s="16" t="inlineStr"/>
      <c r="Q50" s="16" t="inlineStr">
        <is>
          <t>vhdl/buffered_axi_lite_uart.vhd</t>
        </is>
      </c>
      <c r="R50" s="16" t="inlineStr">
        <is>
          <t>RTL</t>
        </is>
      </c>
      <c r="S50" s="16" t="inlineStr">
        <is>
          <t>NOT_RUN</t>
        </is>
      </c>
      <c r="T50" s="16" t="inlineStr"/>
      <c r="U50" s="16" t="inlineStr"/>
      <c r="V50" s="16" t="inlineStr"/>
      <c r="W50" s="16" t="inlineStr">
        <is>
          <t>NOT_RUN</t>
        </is>
      </c>
      <c r="X50" s="16" t="inlineStr"/>
      <c r="AA50" s="16" t="inlineStr"/>
      <c r="AB50" s="17">
        <f>IF(K50="WAIVED","WAIVED",IF(H50="","OPEN",IF(S50="BLOCKED","BLOCKED",IF(S50="FAIL","FAILING",IF(S50="PASS",IF(AA50&lt;&gt;"","AT_RISK",IF(AC50&lt;&gt;"","CLOSED","PASSING")),"COVERED")))))</f>
        <v/>
      </c>
      <c r="AC50" s="16" t="inlineStr"/>
      <c r="AD50" s="16" t="inlineStr"/>
      <c r="AE50" s="16" t="inlineStr"/>
      <c r="AF50" s="16" t="inlineStr">
        <is>
          <t>1.0.0</t>
        </is>
      </c>
      <c r="AG50" s="16" t="inlineStr">
        <is>
          <t>ZUBoard 1CG / Basys 3</t>
        </is>
      </c>
      <c r="AH50" s="16" t="inlineStr">
        <is>
          <t>BALU-RS-001 Rev 0.4</t>
        </is>
      </c>
    </row>
    <row r="51">
      <c r="A51" s="16" t="inlineStr">
        <is>
          <t>UART-FIFO-004</t>
        </is>
      </c>
      <c r="B51" s="16" t="inlineStr">
        <is>
          <t>FIFO</t>
        </is>
      </c>
      <c r="C51" s="16" t="inlineStr">
        <is>
          <t>functional</t>
        </is>
      </c>
      <c r="D51" s="16" t="inlineStr">
        <is>
          <t>The Buffered AXI-Lite UART shall assert RX_FULL in STATUS when RX FIFO occupancy equals G_FIFO_DEPTH, and deassert it when occupancy falls below G_FIFO_DEPTH.</t>
        </is>
      </c>
      <c r="E51" s="16" t="inlineStr">
        <is>
          <t>BALU-RS-001</t>
        </is>
      </c>
      <c r="F51" s="16" t="inlineStr">
        <is>
          <t>§7.4</t>
        </is>
      </c>
      <c r="G51" s="16" t="inlineStr">
        <is>
          <t>test</t>
        </is>
      </c>
      <c r="H51" s="16" t="inlineStr">
        <is>
          <t>COV-004</t>
        </is>
      </c>
      <c r="I51" s="16" t="inlineStr">
        <is>
          <t>RX FIFO occupancy driven to 0, RX_THRESH-1, RX_THRESH, RX_THRESH+1, and G_FIFO_DEPTH to verify status flags and overrun discard.</t>
        </is>
      </c>
      <c r="J51" s="16" t="inlineStr"/>
      <c r="K51" s="16" t="inlineStr">
        <is>
          <t>GENERATED</t>
        </is>
      </c>
      <c r="L51" s="16" t="inlineStr"/>
      <c r="M51" s="16" t="inlineStr"/>
      <c r="N51" s="16" t="inlineStr">
        <is>
          <t>Functional</t>
        </is>
      </c>
      <c r="O51" s="16" t="inlineStr">
        <is>
          <t>ALL</t>
        </is>
      </c>
      <c r="P51" s="16" t="inlineStr"/>
      <c r="Q51" s="16" t="inlineStr">
        <is>
          <t>vhdl/buffered_axi_lite_uart.vhd</t>
        </is>
      </c>
      <c r="R51" s="16" t="inlineStr">
        <is>
          <t>RTL</t>
        </is>
      </c>
      <c r="S51" s="16" t="inlineStr">
        <is>
          <t>NOT_RUN</t>
        </is>
      </c>
      <c r="T51" s="16" t="inlineStr"/>
      <c r="U51" s="16" t="inlineStr"/>
      <c r="V51" s="16" t="inlineStr"/>
      <c r="W51" s="16" t="inlineStr">
        <is>
          <t>NOT_RUN</t>
        </is>
      </c>
      <c r="X51" s="16" t="inlineStr"/>
      <c r="AA51" s="16" t="inlineStr"/>
      <c r="AB51" s="17">
        <f>IF(K51="WAIVED","WAIVED",IF(H51="","OPEN",IF(S51="BLOCKED","BLOCKED",IF(S51="FAIL","FAILING",IF(S51="PASS",IF(AA51&lt;&gt;"","AT_RISK",IF(AC51&lt;&gt;"","CLOSED","PASSING")),"COVERED")))))</f>
        <v/>
      </c>
      <c r="AC51" s="16" t="inlineStr"/>
      <c r="AD51" s="16" t="inlineStr"/>
      <c r="AE51" s="16" t="inlineStr"/>
      <c r="AF51" s="16" t="inlineStr">
        <is>
          <t>1.0.0</t>
        </is>
      </c>
      <c r="AG51" s="16" t="inlineStr">
        <is>
          <t>ZUBoard 1CG / Basys 3</t>
        </is>
      </c>
      <c r="AH51" s="16" t="inlineStr">
        <is>
          <t>BALU-RS-001 Rev 0.4</t>
        </is>
      </c>
    </row>
    <row r="52">
      <c r="A52" s="16" t="inlineStr">
        <is>
          <t>UART-FIFO-005</t>
        </is>
      </c>
      <c r="B52" s="16" t="inlineStr">
        <is>
          <t>FIFO</t>
        </is>
      </c>
      <c r="C52" s="16" t="inlineStr">
        <is>
          <t>functional</t>
        </is>
      </c>
      <c r="D52" s="16" t="inlineStr">
        <is>
          <t>The Buffered AXI-Lite UART shall assert RX_EMPTY in STATUS when RX FIFO occupancy equals zero, and deassert it when the first received byte is transferred to the RX FIFO.</t>
        </is>
      </c>
      <c r="E52" s="16" t="inlineStr">
        <is>
          <t>BALU-RS-001</t>
        </is>
      </c>
      <c r="F52" s="16" t="inlineStr">
        <is>
          <t>§7.4</t>
        </is>
      </c>
      <c r="G52" s="16" t="inlineStr">
        <is>
          <t>test</t>
        </is>
      </c>
      <c r="H52" s="16" t="inlineStr">
        <is>
          <t>COV-004</t>
        </is>
      </c>
      <c r="I52" s="16" t="inlineStr">
        <is>
          <t>RX FIFO occupancy driven to 0, RX_THRESH-1, RX_THRESH, RX_THRESH+1, and G_FIFO_DEPTH to verify status flags and overrun discard.</t>
        </is>
      </c>
      <c r="J52" s="16" t="inlineStr"/>
      <c r="K52" s="16" t="inlineStr">
        <is>
          <t>GENERATED</t>
        </is>
      </c>
      <c r="L52" s="16" t="inlineStr"/>
      <c r="M52" s="16" t="inlineStr"/>
      <c r="N52" s="16" t="inlineStr">
        <is>
          <t>Functional</t>
        </is>
      </c>
      <c r="O52" s="16" t="inlineStr">
        <is>
          <t>ALL</t>
        </is>
      </c>
      <c r="P52" s="16" t="inlineStr"/>
      <c r="Q52" s="16" t="inlineStr">
        <is>
          <t>vhdl/buffered_axi_lite_uart.vhd</t>
        </is>
      </c>
      <c r="R52" s="16" t="inlineStr">
        <is>
          <t>RTL</t>
        </is>
      </c>
      <c r="S52" s="16" t="inlineStr">
        <is>
          <t>NOT_RUN</t>
        </is>
      </c>
      <c r="T52" s="16" t="inlineStr"/>
      <c r="U52" s="16" t="inlineStr"/>
      <c r="V52" s="16" t="inlineStr"/>
      <c r="W52" s="16" t="inlineStr">
        <is>
          <t>NOT_RUN</t>
        </is>
      </c>
      <c r="X52" s="16" t="inlineStr"/>
      <c r="AA52" s="16" t="inlineStr"/>
      <c r="AB52" s="17">
        <f>IF(K52="WAIVED","WAIVED",IF(H52="","OPEN",IF(S52="BLOCKED","BLOCKED",IF(S52="FAIL","FAILING",IF(S52="PASS",IF(AA52&lt;&gt;"","AT_RISK",IF(AC52&lt;&gt;"","CLOSED","PASSING")),"COVERED")))))</f>
        <v/>
      </c>
      <c r="AC52" s="16" t="inlineStr"/>
      <c r="AD52" s="16" t="inlineStr"/>
      <c r="AE52" s="16" t="inlineStr"/>
      <c r="AF52" s="16" t="inlineStr">
        <is>
          <t>1.0.0</t>
        </is>
      </c>
      <c r="AG52" s="16" t="inlineStr">
        <is>
          <t>ZUBoard 1CG / Basys 3</t>
        </is>
      </c>
      <c r="AH52" s="16" t="inlineStr">
        <is>
          <t>BALU-RS-001 Rev 0.4</t>
        </is>
      </c>
    </row>
    <row r="53">
      <c r="A53" s="16" t="inlineStr">
        <is>
          <t>UART-FIFO-006</t>
        </is>
      </c>
      <c r="B53" s="16" t="inlineStr">
        <is>
          <t>FIFO</t>
        </is>
      </c>
      <c r="C53" s="16" t="inlineStr">
        <is>
          <t>functional</t>
        </is>
      </c>
      <c r="D53" s="16" t="inlineStr">
        <is>
          <t>The Buffered AXI-Lite UART shall silently ignore a write to TX_DATA while TX_FULL is asserted. The TX FIFO content shall be unchanged.</t>
        </is>
      </c>
      <c r="E53" s="16" t="inlineStr">
        <is>
          <t>BALU-RS-001</t>
        </is>
      </c>
      <c r="F53" s="16" t="inlineStr">
        <is>
          <t>§7.4</t>
        </is>
      </c>
      <c r="G53" s="16" t="inlineStr">
        <is>
          <t>test</t>
        </is>
      </c>
      <c r="H53" s="16" t="inlineStr">
        <is>
          <t>COV-005</t>
        </is>
      </c>
      <c r="I53" s="16" t="inlineStr">
        <is>
          <t>TX FIFO occupancy driven to 0, TX_THRESH-1, TX_THRESH, TX_THRESH+1, and G_FIFO_DEPTH to verify status flags and write-ignore behavior.</t>
        </is>
      </c>
      <c r="J53" s="16" t="inlineStr"/>
      <c r="K53" s="16" t="inlineStr">
        <is>
          <t>GENERATED</t>
        </is>
      </c>
      <c r="L53" s="16" t="inlineStr"/>
      <c r="M53" s="16" t="inlineStr"/>
      <c r="N53" s="16" t="inlineStr">
        <is>
          <t>Functional</t>
        </is>
      </c>
      <c r="O53" s="16" t="inlineStr">
        <is>
          <t>ALL</t>
        </is>
      </c>
      <c r="P53" s="16" t="inlineStr"/>
      <c r="Q53" s="16" t="inlineStr">
        <is>
          <t>vhdl/buffered_axi_lite_uart.vhd</t>
        </is>
      </c>
      <c r="R53" s="16" t="inlineStr">
        <is>
          <t>RTL</t>
        </is>
      </c>
      <c r="S53" s="16" t="inlineStr">
        <is>
          <t>NOT_RUN</t>
        </is>
      </c>
      <c r="T53" s="16" t="inlineStr"/>
      <c r="U53" s="16" t="inlineStr"/>
      <c r="V53" s="16" t="inlineStr"/>
      <c r="W53" s="16" t="inlineStr">
        <is>
          <t>NOT_RUN</t>
        </is>
      </c>
      <c r="X53" s="16" t="inlineStr"/>
      <c r="AA53" s="16" t="inlineStr"/>
      <c r="AB53" s="17">
        <f>IF(K53="WAIVED","WAIVED",IF(H53="","OPEN",IF(S53="BLOCKED","BLOCKED",IF(S53="FAIL","FAILING",IF(S53="PASS",IF(AA53&lt;&gt;"","AT_RISK",IF(AC53&lt;&gt;"","CLOSED","PASSING")),"COVERED")))))</f>
        <v/>
      </c>
      <c r="AC53" s="16" t="inlineStr"/>
      <c r="AD53" s="16" t="inlineStr"/>
      <c r="AE53" s="16" t="inlineStr"/>
      <c r="AF53" s="16" t="inlineStr">
        <is>
          <t>1.0.0</t>
        </is>
      </c>
      <c r="AG53" s="16" t="inlineStr">
        <is>
          <t>ZUBoard 1CG / Basys 3</t>
        </is>
      </c>
      <c r="AH53" s="16" t="inlineStr">
        <is>
          <t>BALU-RS-001 Rev 0.4</t>
        </is>
      </c>
    </row>
    <row r="54">
      <c r="A54" s="16" t="inlineStr">
        <is>
          <t>UART-FIFO-007</t>
        </is>
      </c>
      <c r="B54" s="16" t="inlineStr">
        <is>
          <t>FIFO</t>
        </is>
      </c>
      <c r="C54" s="16" t="inlineStr">
        <is>
          <t>functional</t>
        </is>
      </c>
      <c r="D54" s="16" t="inlineStr">
        <is>
          <t>The Buffered AXI-Lite UART shall discard the incoming byte when an RX overrun occurs (a received frame completes while the RX FIFO is full), preserving all existing RX FIFO content unchanged.</t>
        </is>
      </c>
      <c r="E54" s="16" t="inlineStr">
        <is>
          <t>BALU-RS-001</t>
        </is>
      </c>
      <c r="F54" s="16" t="inlineStr">
        <is>
          <t>§7.4</t>
        </is>
      </c>
      <c r="G54" s="16" t="inlineStr">
        <is>
          <t>test</t>
        </is>
      </c>
      <c r="H54" s="16" t="inlineStr">
        <is>
          <t>COV-004, COV-008</t>
        </is>
      </c>
      <c r="I54" s="16" t="inlineStr">
        <is>
          <t>RX FIFO occupancy driven to 0, RX_THRESH-1, RX_THRESH, RX_THRESH+1, and G_FIFO_DEPTH to verify status flags and overrun discard.</t>
        </is>
      </c>
      <c r="J54" s="16" t="inlineStr"/>
      <c r="K54" s="16" t="inlineStr">
        <is>
          <t>GENERATED</t>
        </is>
      </c>
      <c r="L54" s="16" t="inlineStr"/>
      <c r="M54" s="16" t="inlineStr"/>
      <c r="N54" s="16" t="inlineStr">
        <is>
          <t>Functional</t>
        </is>
      </c>
      <c r="O54" s="16" t="inlineStr">
        <is>
          <t>ALL</t>
        </is>
      </c>
      <c r="P54" s="16" t="inlineStr"/>
      <c r="Q54" s="16" t="inlineStr">
        <is>
          <t>vhdl/buffered_axi_lite_uart.vhd</t>
        </is>
      </c>
      <c r="R54" s="16" t="inlineStr">
        <is>
          <t>RTL</t>
        </is>
      </c>
      <c r="S54" s="16" t="inlineStr">
        <is>
          <t>NOT_RUN</t>
        </is>
      </c>
      <c r="T54" s="16" t="inlineStr"/>
      <c r="U54" s="16" t="inlineStr"/>
      <c r="V54" s="16" t="inlineStr"/>
      <c r="W54" s="16" t="inlineStr">
        <is>
          <t>NOT_RUN</t>
        </is>
      </c>
      <c r="X54" s="16" t="inlineStr"/>
      <c r="AA54" s="16" t="inlineStr"/>
      <c r="AB54" s="17">
        <f>IF(K54="WAIVED","WAIVED",IF(H54="","OPEN",IF(S54="BLOCKED","BLOCKED",IF(S54="FAIL","FAILING",IF(S54="PASS",IF(AA54&lt;&gt;"","AT_RISK",IF(AC54&lt;&gt;"","CLOSED","PASSING")),"COVERED")))))</f>
        <v/>
      </c>
      <c r="AC54" s="16" t="inlineStr"/>
      <c r="AD54" s="16" t="inlineStr"/>
      <c r="AE54" s="16" t="inlineStr"/>
      <c r="AF54" s="16" t="inlineStr">
        <is>
          <t>1.0.0</t>
        </is>
      </c>
      <c r="AG54" s="16" t="inlineStr">
        <is>
          <t>ZUBoard 1CG / Basys 3</t>
        </is>
      </c>
      <c r="AH54" s="16" t="inlineStr">
        <is>
          <t>BALU-RS-001 Rev 0.4</t>
        </is>
      </c>
    </row>
    <row r="55">
      <c r="A55" s="16" t="inlineStr">
        <is>
          <t>UART-FIFO-008</t>
        </is>
      </c>
      <c r="B55" s="16" t="inlineStr">
        <is>
          <t>FIFO</t>
        </is>
      </c>
      <c r="C55" s="16" t="inlineStr">
        <is>
          <t>functional</t>
        </is>
      </c>
      <c r="D55" s="16" t="inlineStr">
        <is>
          <t>The Buffered AXI-Lite UART shall reflect the current TX FIFO occupancy as an 8-bit unsigned integer in FIFO_STATUS.TX_LEVEL, readable at any time regardless of UART_EN state.</t>
        </is>
      </c>
      <c r="E55" s="16" t="inlineStr">
        <is>
          <t>BALU-RS-001</t>
        </is>
      </c>
      <c r="F55" s="16" t="inlineStr">
        <is>
          <t>§7.4</t>
        </is>
      </c>
      <c r="G55" s="16" t="inlineStr">
        <is>
          <t>test</t>
        </is>
      </c>
      <c r="H55" s="16" t="inlineStr">
        <is>
          <t>COV-005</t>
        </is>
      </c>
      <c r="I55" s="16" t="inlineStr">
        <is>
          <t>TX FIFO occupancy driven to 0, TX_THRESH-1, TX_THRESH, TX_THRESH+1, and G_FIFO_DEPTH to verify status flags and write-ignore behavior.</t>
        </is>
      </c>
      <c r="J55" s="16" t="inlineStr"/>
      <c r="K55" s="16" t="inlineStr">
        <is>
          <t>GENERATED</t>
        </is>
      </c>
      <c r="L55" s="16" t="inlineStr"/>
      <c r="M55" s="16" t="inlineStr"/>
      <c r="N55" s="16" t="inlineStr">
        <is>
          <t>Functional</t>
        </is>
      </c>
      <c r="O55" s="16" t="inlineStr">
        <is>
          <t>ALL</t>
        </is>
      </c>
      <c r="P55" s="16" t="inlineStr"/>
      <c r="Q55" s="16" t="inlineStr">
        <is>
          <t>vhdl/buffered_axi_lite_uart.vhd</t>
        </is>
      </c>
      <c r="R55" s="16" t="inlineStr">
        <is>
          <t>RTL</t>
        </is>
      </c>
      <c r="S55" s="16" t="inlineStr">
        <is>
          <t>NOT_RUN</t>
        </is>
      </c>
      <c r="T55" s="16" t="inlineStr"/>
      <c r="U55" s="16" t="inlineStr"/>
      <c r="V55" s="16" t="inlineStr"/>
      <c r="W55" s="16" t="inlineStr">
        <is>
          <t>NOT_RUN</t>
        </is>
      </c>
      <c r="X55" s="16" t="inlineStr"/>
      <c r="AA55" s="16" t="inlineStr"/>
      <c r="AB55" s="17">
        <f>IF(K55="WAIVED","WAIVED",IF(H55="","OPEN",IF(S55="BLOCKED","BLOCKED",IF(S55="FAIL","FAILING",IF(S55="PASS",IF(AA55&lt;&gt;"","AT_RISK",IF(AC55&lt;&gt;"","CLOSED","PASSING")),"COVERED")))))</f>
        <v/>
      </c>
      <c r="AC55" s="16" t="inlineStr"/>
      <c r="AD55" s="16" t="inlineStr"/>
      <c r="AE55" s="16" t="inlineStr"/>
      <c r="AF55" s="16" t="inlineStr">
        <is>
          <t>1.0.0</t>
        </is>
      </c>
      <c r="AG55" s="16" t="inlineStr">
        <is>
          <t>ZUBoard 1CG / Basys 3</t>
        </is>
      </c>
      <c r="AH55" s="16" t="inlineStr">
        <is>
          <t>BALU-RS-001 Rev 0.4</t>
        </is>
      </c>
    </row>
    <row r="56">
      <c r="A56" s="16" t="inlineStr">
        <is>
          <t>UART-FIFO-009</t>
        </is>
      </c>
      <c r="B56" s="16" t="inlineStr">
        <is>
          <t>FIFO</t>
        </is>
      </c>
      <c r="C56" s="16" t="inlineStr">
        <is>
          <t>functional</t>
        </is>
      </c>
      <c r="D56" s="16" t="inlineStr">
        <is>
          <t>The Buffered AXI-Lite UART shall reflect the current RX FIFO occupancy as an 8-bit unsigned integer in FIFO_STATUS.RX_LEVEL, readable at any time regardless of UART_EN state.</t>
        </is>
      </c>
      <c r="E56" s="16" t="inlineStr">
        <is>
          <t>BALU-RS-001</t>
        </is>
      </c>
      <c r="F56" s="16" t="inlineStr">
        <is>
          <t>§7.4</t>
        </is>
      </c>
      <c r="G56" s="16" t="inlineStr">
        <is>
          <t>test</t>
        </is>
      </c>
      <c r="H56" s="16" t="inlineStr">
        <is>
          <t>COV-004</t>
        </is>
      </c>
      <c r="I56" s="16" t="inlineStr">
        <is>
          <t>RX FIFO occupancy driven to 0, RX_THRESH-1, RX_THRESH, RX_THRESH+1, and G_FIFO_DEPTH to verify status flags and overrun discard.</t>
        </is>
      </c>
      <c r="J56" s="16" t="inlineStr"/>
      <c r="K56" s="16" t="inlineStr">
        <is>
          <t>GENERATED</t>
        </is>
      </c>
      <c r="L56" s="16" t="inlineStr"/>
      <c r="M56" s="16" t="inlineStr"/>
      <c r="N56" s="16" t="inlineStr">
        <is>
          <t>Functional</t>
        </is>
      </c>
      <c r="O56" s="16" t="inlineStr">
        <is>
          <t>ALL</t>
        </is>
      </c>
      <c r="P56" s="16" t="inlineStr"/>
      <c r="Q56" s="16" t="inlineStr">
        <is>
          <t>vhdl/buffered_axi_lite_uart.vhd</t>
        </is>
      </c>
      <c r="R56" s="16" t="inlineStr">
        <is>
          <t>RTL</t>
        </is>
      </c>
      <c r="S56" s="16" t="inlineStr">
        <is>
          <t>NOT_RUN</t>
        </is>
      </c>
      <c r="T56" s="16" t="inlineStr"/>
      <c r="U56" s="16" t="inlineStr"/>
      <c r="V56" s="16" t="inlineStr"/>
      <c r="W56" s="16" t="inlineStr">
        <is>
          <t>NOT_RUN</t>
        </is>
      </c>
      <c r="X56" s="16" t="inlineStr"/>
      <c r="AA56" s="16" t="inlineStr"/>
      <c r="AB56" s="17">
        <f>IF(K56="WAIVED","WAIVED",IF(H56="","OPEN",IF(S56="BLOCKED","BLOCKED",IF(S56="FAIL","FAILING",IF(S56="PASS",IF(AA56&lt;&gt;"","AT_RISK",IF(AC56&lt;&gt;"","CLOSED","PASSING")),"COVERED")))))</f>
        <v/>
      </c>
      <c r="AC56" s="16" t="inlineStr"/>
      <c r="AD56" s="16" t="inlineStr"/>
      <c r="AE56" s="16" t="inlineStr"/>
      <c r="AF56" s="16" t="inlineStr">
        <is>
          <t>1.0.0</t>
        </is>
      </c>
      <c r="AG56" s="16" t="inlineStr">
        <is>
          <t>ZUBoard 1CG / Basys 3</t>
        </is>
      </c>
      <c r="AH56" s="16" t="inlineStr">
        <is>
          <t>BALU-RS-001 Rev 0.4</t>
        </is>
      </c>
    </row>
    <row r="57">
      <c r="A57" s="16" t="inlineStr">
        <is>
          <t>UART-TO-001</t>
        </is>
      </c>
      <c r="B57" s="16" t="inlineStr">
        <is>
          <t>TO</t>
        </is>
      </c>
      <c r="C57" s="16" t="inlineStr">
        <is>
          <t>functional</t>
        </is>
      </c>
      <c r="D57" s="16" t="inlineStr">
        <is>
          <t>The Buffered AXI-Lite UART shall disable the receive timeout mechanism entirely when TIMEOUT_VAL = 0x0000. No timeout event shall occur regardless of RX FIFO state.</t>
        </is>
      </c>
      <c r="E57" s="16" t="inlineStr">
        <is>
          <t>BALU-RS-001</t>
        </is>
      </c>
      <c r="F57" s="16" t="inlineStr">
        <is>
          <t>§7.5</t>
        </is>
      </c>
      <c r="G57" s="16" t="inlineStr">
        <is>
          <t>test</t>
        </is>
      </c>
      <c r="H57" s="16" t="inlineStr">
        <is>
          <t>COV-006</t>
        </is>
      </c>
      <c r="I57" s="16" t="inlineStr">
        <is>
          <t>TIMEOUT_VAL set to 0x0000, 0x0001, G_TIMEOUT_DEFAULT, 0xFFFE, and 0xFFFF; idle receiver until timeout fires for each non-zero value.</t>
        </is>
      </c>
      <c r="J57" s="16" t="inlineStr"/>
      <c r="K57" s="16" t="inlineStr">
        <is>
          <t>GENERATED</t>
        </is>
      </c>
      <c r="L57" s="16" t="inlineStr"/>
      <c r="M57" s="16" t="inlineStr"/>
      <c r="N57" s="16" t="inlineStr">
        <is>
          <t>Functional</t>
        </is>
      </c>
      <c r="O57" s="16" t="inlineStr">
        <is>
          <t>ALL</t>
        </is>
      </c>
      <c r="P57" s="16" t="inlineStr"/>
      <c r="Q57" s="16" t="inlineStr">
        <is>
          <t>vhdl/buffered_axi_lite_uart.vhd</t>
        </is>
      </c>
      <c r="R57" s="16" t="inlineStr">
        <is>
          <t>RTL</t>
        </is>
      </c>
      <c r="S57" s="16" t="inlineStr">
        <is>
          <t>NOT_RUN</t>
        </is>
      </c>
      <c r="T57" s="16" t="inlineStr"/>
      <c r="U57" s="16" t="inlineStr"/>
      <c r="V57" s="16" t="inlineStr"/>
      <c r="W57" s="16" t="inlineStr">
        <is>
          <t>NOT_RUN</t>
        </is>
      </c>
      <c r="X57" s="16" t="inlineStr"/>
      <c r="AA57" s="16" t="inlineStr"/>
      <c r="AB57" s="17">
        <f>IF(K57="WAIVED","WAIVED",IF(H57="","OPEN",IF(S57="BLOCKED","BLOCKED",IF(S57="FAIL","FAILING",IF(S57="PASS",IF(AA57&lt;&gt;"","AT_RISK",IF(AC57&lt;&gt;"","CLOSED","PASSING")),"COVERED")))))</f>
        <v/>
      </c>
      <c r="AC57" s="16" t="inlineStr"/>
      <c r="AD57" s="16" t="inlineStr"/>
      <c r="AE57" s="16" t="inlineStr"/>
      <c r="AF57" s="16" t="inlineStr">
        <is>
          <t>1.0.0</t>
        </is>
      </c>
      <c r="AG57" s="16" t="inlineStr">
        <is>
          <t>ZUBoard 1CG / Basys 3</t>
        </is>
      </c>
      <c r="AH57" s="16" t="inlineStr">
        <is>
          <t>BALU-RS-001 Rev 0.4</t>
        </is>
      </c>
    </row>
    <row r="58">
      <c r="A58" s="16" t="inlineStr">
        <is>
          <t>UART-TO-002</t>
        </is>
      </c>
      <c r="B58" s="16" t="inlineStr">
        <is>
          <t>TO</t>
        </is>
      </c>
      <c r="C58" s="16" t="inlineStr">
        <is>
          <t>functional</t>
        </is>
      </c>
      <c r="D58" s="16" t="inlineStr">
        <is>
          <t>The Buffered AXI-Lite UART shall start the timeout counter when the RX FIFO transitions from empty to non-empty, provided TIMEOUT_VAL is non-zero.</t>
        </is>
      </c>
      <c r="E58" s="16" t="inlineStr">
        <is>
          <t>BALU-RS-001</t>
        </is>
      </c>
      <c r="F58" s="16" t="inlineStr">
        <is>
          <t>§7.5</t>
        </is>
      </c>
      <c r="G58" s="16" t="inlineStr">
        <is>
          <t>test</t>
        </is>
      </c>
      <c r="H58" s="16" t="inlineStr">
        <is>
          <t>COV-006</t>
        </is>
      </c>
      <c r="I58" s="16" t="inlineStr">
        <is>
          <t>TIMEOUT_VAL set to 0x0000, 0x0001, G_TIMEOUT_DEFAULT, 0xFFFE, and 0xFFFF; idle receiver until timeout fires for each non-zero value.</t>
        </is>
      </c>
      <c r="J58" s="16" t="inlineStr"/>
      <c r="K58" s="16" t="inlineStr">
        <is>
          <t>GENERATED</t>
        </is>
      </c>
      <c r="L58" s="16" t="inlineStr"/>
      <c r="M58" s="16" t="inlineStr"/>
      <c r="N58" s="16" t="inlineStr">
        <is>
          <t>Functional</t>
        </is>
      </c>
      <c r="O58" s="16" t="inlineStr">
        <is>
          <t>ALL</t>
        </is>
      </c>
      <c r="P58" s="16" t="inlineStr"/>
      <c r="Q58" s="16" t="inlineStr">
        <is>
          <t>vhdl/buffered_axi_lite_uart.vhd</t>
        </is>
      </c>
      <c r="R58" s="16" t="inlineStr">
        <is>
          <t>RTL</t>
        </is>
      </c>
      <c r="S58" s="16" t="inlineStr">
        <is>
          <t>NOT_RUN</t>
        </is>
      </c>
      <c r="T58" s="16" t="inlineStr"/>
      <c r="U58" s="16" t="inlineStr"/>
      <c r="V58" s="16" t="inlineStr"/>
      <c r="W58" s="16" t="inlineStr">
        <is>
          <t>NOT_RUN</t>
        </is>
      </c>
      <c r="X58" s="16" t="inlineStr"/>
      <c r="AA58" s="16" t="inlineStr"/>
      <c r="AB58" s="17">
        <f>IF(K58="WAIVED","WAIVED",IF(H58="","OPEN",IF(S58="BLOCKED","BLOCKED",IF(S58="FAIL","FAILING",IF(S58="PASS",IF(AA58&lt;&gt;"","AT_RISK",IF(AC58&lt;&gt;"","CLOSED","PASSING")),"COVERED")))))</f>
        <v/>
      </c>
      <c r="AC58" s="16" t="inlineStr"/>
      <c r="AD58" s="16" t="inlineStr"/>
      <c r="AE58" s="16" t="inlineStr"/>
      <c r="AF58" s="16" t="inlineStr">
        <is>
          <t>1.0.0</t>
        </is>
      </c>
      <c r="AG58" s="16" t="inlineStr">
        <is>
          <t>ZUBoard 1CG / Basys 3</t>
        </is>
      </c>
      <c r="AH58" s="16" t="inlineStr">
        <is>
          <t>BALU-RS-001 Rev 0.4</t>
        </is>
      </c>
    </row>
    <row r="59">
      <c r="A59" s="16" t="inlineStr">
        <is>
          <t>UART-TO-003</t>
        </is>
      </c>
      <c r="B59" s="16" t="inlineStr">
        <is>
          <t>TO</t>
        </is>
      </c>
      <c r="C59" s="16" t="inlineStr">
        <is>
          <t>functional</t>
        </is>
      </c>
      <c r="D59" s="16" t="inlineStr">
        <is>
          <t>The Buffered AXI-Lite UART shall restart the timeout counter on each subsequently received character while the RX FIFO remains non-empty.</t>
        </is>
      </c>
      <c r="E59" s="16" t="inlineStr">
        <is>
          <t>BALU-RS-001</t>
        </is>
      </c>
      <c r="F59" s="16" t="inlineStr">
        <is>
          <t>§7.5</t>
        </is>
      </c>
      <c r="G59" s="16" t="inlineStr">
        <is>
          <t>test</t>
        </is>
      </c>
      <c r="H59" s="16" t="inlineStr">
        <is>
          <t>COV-006</t>
        </is>
      </c>
      <c r="I59" s="16" t="inlineStr">
        <is>
          <t>TIMEOUT_VAL set to 0x0000, 0x0001, G_TIMEOUT_DEFAULT, 0xFFFE, and 0xFFFF; idle receiver until timeout fires for each non-zero value.</t>
        </is>
      </c>
      <c r="J59" s="16" t="inlineStr"/>
      <c r="K59" s="16" t="inlineStr">
        <is>
          <t>GENERATED</t>
        </is>
      </c>
      <c r="L59" s="16" t="inlineStr"/>
      <c r="M59" s="16" t="inlineStr"/>
      <c r="N59" s="16" t="inlineStr">
        <is>
          <t>Functional</t>
        </is>
      </c>
      <c r="O59" s="16" t="inlineStr">
        <is>
          <t>ALL</t>
        </is>
      </c>
      <c r="P59" s="16" t="inlineStr"/>
      <c r="Q59" s="16" t="inlineStr">
        <is>
          <t>vhdl/buffered_axi_lite_uart.vhd</t>
        </is>
      </c>
      <c r="R59" s="16" t="inlineStr">
        <is>
          <t>RTL</t>
        </is>
      </c>
      <c r="S59" s="16" t="inlineStr">
        <is>
          <t>NOT_RUN</t>
        </is>
      </c>
      <c r="T59" s="16" t="inlineStr"/>
      <c r="U59" s="16" t="inlineStr"/>
      <c r="V59" s="16" t="inlineStr"/>
      <c r="W59" s="16" t="inlineStr">
        <is>
          <t>NOT_RUN</t>
        </is>
      </c>
      <c r="X59" s="16" t="inlineStr"/>
      <c r="AA59" s="16" t="inlineStr"/>
      <c r="AB59" s="17">
        <f>IF(K59="WAIVED","WAIVED",IF(H59="","OPEN",IF(S59="BLOCKED","BLOCKED",IF(S59="FAIL","FAILING",IF(S59="PASS",IF(AA59&lt;&gt;"","AT_RISK",IF(AC59&lt;&gt;"","CLOSED","PASSING")),"COVERED")))))</f>
        <v/>
      </c>
      <c r="AC59" s="16" t="inlineStr"/>
      <c r="AD59" s="16" t="inlineStr"/>
      <c r="AE59" s="16" t="inlineStr"/>
      <c r="AF59" s="16" t="inlineStr">
        <is>
          <t>1.0.0</t>
        </is>
      </c>
      <c r="AG59" s="16" t="inlineStr">
        <is>
          <t>ZUBoard 1CG / Basys 3</t>
        </is>
      </c>
      <c r="AH59" s="16" t="inlineStr">
        <is>
          <t>BALU-RS-001 Rev 0.4</t>
        </is>
      </c>
    </row>
    <row r="60">
      <c r="A60" s="16" t="inlineStr">
        <is>
          <t>UART-TO-004</t>
        </is>
      </c>
      <c r="B60" s="16" t="inlineStr">
        <is>
          <t>TO</t>
        </is>
      </c>
      <c r="C60" s="16" t="inlineStr">
        <is>
          <t>functional</t>
        </is>
      </c>
      <c r="D60" s="16" t="inlineStr">
        <is>
          <t>The Buffered AXI-Lite UART shall hold the timeout counter inactive and prevent timeout expiry when the RX FIFO is empty.</t>
        </is>
      </c>
      <c r="E60" s="16" t="inlineStr">
        <is>
          <t>BALU-RS-001</t>
        </is>
      </c>
      <c r="F60" s="16" t="inlineStr">
        <is>
          <t>§7.5</t>
        </is>
      </c>
      <c r="G60" s="16" t="inlineStr">
        <is>
          <t>test</t>
        </is>
      </c>
      <c r="H60" s="16" t="inlineStr">
        <is>
          <t>COV-006</t>
        </is>
      </c>
      <c r="I60" s="16" t="inlineStr">
        <is>
          <t>TIMEOUT_VAL set to 0x0000, 0x0001, G_TIMEOUT_DEFAULT, 0xFFFE, and 0xFFFF; idle receiver until timeout fires for each non-zero value.</t>
        </is>
      </c>
      <c r="J60" s="16" t="inlineStr"/>
      <c r="K60" s="16" t="inlineStr">
        <is>
          <t>GENERATED</t>
        </is>
      </c>
      <c r="L60" s="16" t="inlineStr"/>
      <c r="M60" s="16" t="inlineStr"/>
      <c r="N60" s="16" t="inlineStr">
        <is>
          <t>Functional</t>
        </is>
      </c>
      <c r="O60" s="16" t="inlineStr">
        <is>
          <t>ALL</t>
        </is>
      </c>
      <c r="P60" s="16" t="inlineStr"/>
      <c r="Q60" s="16" t="inlineStr">
        <is>
          <t>vhdl/buffered_axi_lite_uart.vhd</t>
        </is>
      </c>
      <c r="R60" s="16" t="inlineStr">
        <is>
          <t>RTL</t>
        </is>
      </c>
      <c r="S60" s="16" t="inlineStr">
        <is>
          <t>NOT_RUN</t>
        </is>
      </c>
      <c r="T60" s="16" t="inlineStr"/>
      <c r="U60" s="16" t="inlineStr"/>
      <c r="V60" s="16" t="inlineStr"/>
      <c r="W60" s="16" t="inlineStr">
        <is>
          <t>NOT_RUN</t>
        </is>
      </c>
      <c r="X60" s="16" t="inlineStr"/>
      <c r="AA60" s="16" t="inlineStr"/>
      <c r="AB60" s="17">
        <f>IF(K60="WAIVED","WAIVED",IF(H60="","OPEN",IF(S60="BLOCKED","BLOCKED",IF(S60="FAIL","FAILING",IF(S60="PASS",IF(AA60&lt;&gt;"","AT_RISK",IF(AC60&lt;&gt;"","CLOSED","PASSING")),"COVERED")))))</f>
        <v/>
      </c>
      <c r="AC60" s="16" t="inlineStr"/>
      <c r="AD60" s="16" t="inlineStr"/>
      <c r="AE60" s="16" t="inlineStr"/>
      <c r="AF60" s="16" t="inlineStr">
        <is>
          <t>1.0.0</t>
        </is>
      </c>
      <c r="AG60" s="16" t="inlineStr">
        <is>
          <t>ZUBoard 1CG / Basys 3</t>
        </is>
      </c>
      <c r="AH60" s="16" t="inlineStr">
        <is>
          <t>BALU-RS-001 Rev 0.4</t>
        </is>
      </c>
    </row>
    <row r="61">
      <c r="A61" s="16" t="inlineStr">
        <is>
          <t>UART-TO-005</t>
        </is>
      </c>
      <c r="B61" s="16" t="inlineStr">
        <is>
          <t>TO</t>
        </is>
      </c>
      <c r="C61" s="16" t="inlineStr">
        <is>
          <t>functional</t>
        </is>
      </c>
      <c r="D61" s="16" t="inlineStr">
        <is>
          <t>The Buffered AXI-Lite UART shall set TIMEOUT_FLAG in STATUS when the timeout counter reaches TIMEOUT_VAL without a new character being received.</t>
        </is>
      </c>
      <c r="E61" s="16" t="inlineStr">
        <is>
          <t>BALU-RS-001</t>
        </is>
      </c>
      <c r="F61" s="16" t="inlineStr">
        <is>
          <t>§7.5</t>
        </is>
      </c>
      <c r="G61" s="16" t="inlineStr">
        <is>
          <t>test</t>
        </is>
      </c>
      <c r="H61" s="16" t="inlineStr">
        <is>
          <t>COV-006, COV-009</t>
        </is>
      </c>
      <c r="I61" s="16" t="inlineStr">
        <is>
          <t>TIMEOUT_VAL set to 0x0000, 0x0001, G_TIMEOUT_DEFAULT, 0xFFFE, and 0xFFFF; idle receiver until timeout fires for each non-zero value.</t>
        </is>
      </c>
      <c r="J61" s="16" t="inlineStr"/>
      <c r="K61" s="16" t="inlineStr">
        <is>
          <t>GENERATED</t>
        </is>
      </c>
      <c r="L61" s="16" t="inlineStr"/>
      <c r="M61" s="16" t="inlineStr"/>
      <c r="N61" s="16" t="inlineStr">
        <is>
          <t>Functional</t>
        </is>
      </c>
      <c r="O61" s="16" t="inlineStr">
        <is>
          <t>ALL</t>
        </is>
      </c>
      <c r="P61" s="16" t="inlineStr"/>
      <c r="Q61" s="16" t="inlineStr">
        <is>
          <t>vhdl/buffered_axi_lite_uart.vhd</t>
        </is>
      </c>
      <c r="R61" s="16" t="inlineStr">
        <is>
          <t>RTL</t>
        </is>
      </c>
      <c r="S61" s="16" t="inlineStr">
        <is>
          <t>NOT_RUN</t>
        </is>
      </c>
      <c r="T61" s="16" t="inlineStr"/>
      <c r="U61" s="16" t="inlineStr"/>
      <c r="V61" s="16" t="inlineStr"/>
      <c r="W61" s="16" t="inlineStr">
        <is>
          <t>NOT_RUN</t>
        </is>
      </c>
      <c r="X61" s="16" t="inlineStr"/>
      <c r="AA61" s="16" t="inlineStr"/>
      <c r="AB61" s="17">
        <f>IF(K61="WAIVED","WAIVED",IF(H61="","OPEN",IF(S61="BLOCKED","BLOCKED",IF(S61="FAIL","FAILING",IF(S61="PASS",IF(AA61&lt;&gt;"","AT_RISK",IF(AC61&lt;&gt;"","CLOSED","PASSING")),"COVERED")))))</f>
        <v/>
      </c>
      <c r="AC61" s="16" t="inlineStr"/>
      <c r="AD61" s="16" t="inlineStr"/>
      <c r="AE61" s="16" t="inlineStr"/>
      <c r="AF61" s="16" t="inlineStr">
        <is>
          <t>1.0.0</t>
        </is>
      </c>
      <c r="AG61" s="16" t="inlineStr">
        <is>
          <t>ZUBoard 1CG / Basys 3</t>
        </is>
      </c>
      <c r="AH61" s="16" t="inlineStr">
        <is>
          <t>BALU-RS-001 Rev 0.4</t>
        </is>
      </c>
    </row>
    <row r="62">
      <c r="A62" s="16" t="inlineStr">
        <is>
          <t>UART-TO-006</t>
        </is>
      </c>
      <c r="B62" s="16" t="inlineStr">
        <is>
          <t>TO</t>
        </is>
      </c>
      <c r="C62" s="16" t="inlineStr">
        <is>
          <t>functional</t>
        </is>
      </c>
      <c r="D62" s="16" t="inlineStr">
        <is>
          <t>The Buffered AXI-Lite UART shall keep TIMEOUT_FLAG set until the RX FIFO is read to empty.</t>
        </is>
      </c>
      <c r="E62" s="16" t="inlineStr">
        <is>
          <t>BALU-RS-001</t>
        </is>
      </c>
      <c r="F62" s="16" t="inlineStr">
        <is>
          <t>§7.5</t>
        </is>
      </c>
      <c r="G62" s="16" t="inlineStr">
        <is>
          <t>test</t>
        </is>
      </c>
      <c r="H62" s="16" t="inlineStr">
        <is>
          <t>COV-006</t>
        </is>
      </c>
      <c r="I62" s="16" t="inlineStr">
        <is>
          <t>TIMEOUT_VAL set to 0x0000, 0x0001, G_TIMEOUT_DEFAULT, 0xFFFE, and 0xFFFF; idle receiver until timeout fires for each non-zero value.</t>
        </is>
      </c>
      <c r="J62" s="16" t="inlineStr"/>
      <c r="K62" s="16" t="inlineStr">
        <is>
          <t>GENERATED</t>
        </is>
      </c>
      <c r="L62" s="16" t="inlineStr"/>
      <c r="M62" s="16" t="inlineStr"/>
      <c r="N62" s="16" t="inlineStr">
        <is>
          <t>Functional</t>
        </is>
      </c>
      <c r="O62" s="16" t="inlineStr">
        <is>
          <t>ALL</t>
        </is>
      </c>
      <c r="P62" s="16" t="inlineStr"/>
      <c r="Q62" s="16" t="inlineStr">
        <is>
          <t>vhdl/buffered_axi_lite_uart.vhd</t>
        </is>
      </c>
      <c r="R62" s="16" t="inlineStr">
        <is>
          <t>RTL</t>
        </is>
      </c>
      <c r="S62" s="16" t="inlineStr">
        <is>
          <t>NOT_RUN</t>
        </is>
      </c>
      <c r="T62" s="16" t="inlineStr"/>
      <c r="U62" s="16" t="inlineStr"/>
      <c r="V62" s="16" t="inlineStr"/>
      <c r="W62" s="16" t="inlineStr">
        <is>
          <t>NOT_RUN</t>
        </is>
      </c>
      <c r="X62" s="16" t="inlineStr"/>
      <c r="AA62" s="16" t="inlineStr"/>
      <c r="AB62" s="17">
        <f>IF(K62="WAIVED","WAIVED",IF(H62="","OPEN",IF(S62="BLOCKED","BLOCKED",IF(S62="FAIL","FAILING",IF(S62="PASS",IF(AA62&lt;&gt;"","AT_RISK",IF(AC62&lt;&gt;"","CLOSED","PASSING")),"COVERED")))))</f>
        <v/>
      </c>
      <c r="AC62" s="16" t="inlineStr"/>
      <c r="AD62" s="16" t="inlineStr"/>
      <c r="AE62" s="16" t="inlineStr"/>
      <c r="AF62" s="16" t="inlineStr">
        <is>
          <t>1.0.0</t>
        </is>
      </c>
      <c r="AG62" s="16" t="inlineStr">
        <is>
          <t>ZUBoard 1CG / Basys 3</t>
        </is>
      </c>
      <c r="AH62" s="16" t="inlineStr">
        <is>
          <t>BALU-RS-001 Rev 0.4</t>
        </is>
      </c>
    </row>
    <row r="63">
      <c r="A63" s="16" t="inlineStr">
        <is>
          <t>UART-TO-007</t>
        </is>
      </c>
      <c r="B63" s="16" t="inlineStr">
        <is>
          <t>TO</t>
        </is>
      </c>
      <c r="C63" s="16" t="inlineStr">
        <is>
          <t>functional</t>
        </is>
      </c>
      <c r="D63" s="16" t="inlineStr">
        <is>
          <t>The Buffered AXI-Lite UART shall set the TIMEOUT bit in INT_STATUS when timeout expiry occurs, provided INT_ENABLE.TIMEOUT_EN is asserted at the time of expiry.</t>
        </is>
      </c>
      <c r="E63" s="16" t="inlineStr">
        <is>
          <t>BALU-RS-001</t>
        </is>
      </c>
      <c r="F63" s="16" t="inlineStr">
        <is>
          <t>§7.5</t>
        </is>
      </c>
      <c r="G63" s="16" t="inlineStr">
        <is>
          <t>test</t>
        </is>
      </c>
      <c r="H63" s="16" t="inlineStr">
        <is>
          <t>COV-019</t>
        </is>
      </c>
      <c r="I63" s="16" t="inlineStr">
        <is>
          <t>Drive TX_THRESH and RX_THRESH interrupt conditions, inject FRAME_ERR via stop-bit corruption, enable TIMEOUT interrupt; verify each INT_STATUS bit controlled by INT_ENABLE gate.</t>
        </is>
      </c>
      <c r="J63" s="16" t="inlineStr"/>
      <c r="K63" s="16" t="inlineStr">
        <is>
          <t>GENERATED</t>
        </is>
      </c>
      <c r="L63" s="16" t="inlineStr"/>
      <c r="M63" s="16" t="inlineStr"/>
      <c r="N63" s="16" t="inlineStr">
        <is>
          <t>Functional</t>
        </is>
      </c>
      <c r="O63" s="16" t="inlineStr">
        <is>
          <t>ALL</t>
        </is>
      </c>
      <c r="P63" s="16" t="inlineStr"/>
      <c r="Q63" s="16" t="inlineStr">
        <is>
          <t>vhdl/buffered_axi_lite_uart.vhd</t>
        </is>
      </c>
      <c r="R63" s="16" t="inlineStr">
        <is>
          <t>RTL</t>
        </is>
      </c>
      <c r="S63" s="16" t="inlineStr">
        <is>
          <t>NOT_RUN</t>
        </is>
      </c>
      <c r="T63" s="16" t="inlineStr"/>
      <c r="U63" s="16" t="inlineStr"/>
      <c r="V63" s="16" t="inlineStr"/>
      <c r="W63" s="16" t="inlineStr">
        <is>
          <t>NOT_RUN</t>
        </is>
      </c>
      <c r="X63" s="16" t="inlineStr"/>
      <c r="AA63" s="16" t="inlineStr"/>
      <c r="AB63" s="17">
        <f>IF(K63="WAIVED","WAIVED",IF(H63="","OPEN",IF(S63="BLOCKED","BLOCKED",IF(S63="FAIL","FAILING",IF(S63="PASS",IF(AA63&lt;&gt;"","AT_RISK",IF(AC63&lt;&gt;"","CLOSED","PASSING")),"COVERED")))))</f>
        <v/>
      </c>
      <c r="AC63" s="16" t="inlineStr"/>
      <c r="AD63" s="16" t="inlineStr"/>
      <c r="AE63" s="16" t="inlineStr"/>
      <c r="AF63" s="16" t="inlineStr">
        <is>
          <t>1.0.0</t>
        </is>
      </c>
      <c r="AG63" s="16" t="inlineStr">
        <is>
          <t>ZUBoard 1CG / Basys 3</t>
        </is>
      </c>
      <c r="AH63" s="16" t="inlineStr">
        <is>
          <t>BALU-RS-001 Rev 0.4</t>
        </is>
      </c>
    </row>
    <row r="64">
      <c r="A64" s="16" t="inlineStr">
        <is>
          <t>UART-INT-001</t>
        </is>
      </c>
      <c r="B64" s="16" t="inlineStr">
        <is>
          <t>INT</t>
        </is>
      </c>
      <c r="C64" s="16" t="inlineStr">
        <is>
          <t>functional</t>
        </is>
      </c>
      <c r="D64" s="16" t="inlineStr">
        <is>
          <t>The Buffered AXI-Lite UART shall provide eight interrupt sources: TIMEOUT, TX_THRESH, RX_THRESH, TX_EMPTY, RX_FULL, PARITY_ERR, FRAME_ERR, and OVERRUN.</t>
        </is>
      </c>
      <c r="E64" s="16" t="inlineStr">
        <is>
          <t>BALU-RS-001</t>
        </is>
      </c>
      <c r="F64" s="16" t="inlineStr">
        <is>
          <t>§7.6</t>
        </is>
      </c>
      <c r="G64" s="16" t="inlineStr">
        <is>
          <t>inspection</t>
        </is>
      </c>
      <c r="H64" s="16" t="inlineStr">
        <is>
          <t>COV-007</t>
        </is>
      </c>
      <c r="I64" s="16" t="inlineStr">
        <is>
          <t>Each of 8 interrupt sources set and cleared independently via directed stimulus; verify IRQ asserts and deasserts correctly for each bit.</t>
        </is>
      </c>
      <c r="J64" s="16" t="inlineStr"/>
      <c r="K64" s="16" t="inlineStr">
        <is>
          <t>GENERATED</t>
        </is>
      </c>
      <c r="L64" s="16" t="inlineStr"/>
      <c r="M64" s="16" t="inlineStr"/>
      <c r="N64" s="16" t="inlineStr">
        <is>
          <t>Functional</t>
        </is>
      </c>
      <c r="O64" s="16" t="inlineStr">
        <is>
          <t>ALL</t>
        </is>
      </c>
      <c r="P64" s="16" t="inlineStr"/>
      <c r="Q64" s="16" t="inlineStr">
        <is>
          <t>vhdl/buffered_axi_lite_uart.vhd</t>
        </is>
      </c>
      <c r="R64" s="16" t="inlineStr">
        <is>
          <t>RTL</t>
        </is>
      </c>
      <c r="S64" s="16" t="inlineStr">
        <is>
          <t>NOT_RUN</t>
        </is>
      </c>
      <c r="T64" s="16" t="inlineStr"/>
      <c r="U64" s="16" t="inlineStr"/>
      <c r="V64" s="16" t="inlineStr"/>
      <c r="W64" s="16" t="inlineStr">
        <is>
          <t>NOT_RUN</t>
        </is>
      </c>
      <c r="X64" s="16" t="inlineStr"/>
      <c r="AA64" s="16" t="inlineStr"/>
      <c r="AB64" s="17">
        <f>IF(K64="WAIVED","WAIVED",IF(H64="","OPEN",IF(S64="BLOCKED","BLOCKED",IF(S64="FAIL","FAILING",IF(S64="PASS",IF(AA64&lt;&gt;"","AT_RISK",IF(AC64&lt;&gt;"","CLOSED","PASSING")),"COVERED")))))</f>
        <v/>
      </c>
      <c r="AC64" s="16" t="inlineStr"/>
      <c r="AD64" s="16" t="inlineStr"/>
      <c r="AE64" s="16" t="inlineStr"/>
      <c r="AF64" s="16" t="inlineStr">
        <is>
          <t>1.0.0</t>
        </is>
      </c>
      <c r="AG64" s="16" t="inlineStr">
        <is>
          <t>ZUBoard 1CG / Basys 3</t>
        </is>
      </c>
      <c r="AH64" s="16" t="inlineStr">
        <is>
          <t>BALU-RS-001 Rev 0.4</t>
        </is>
      </c>
    </row>
    <row r="65">
      <c r="A65" s="16" t="inlineStr">
        <is>
          <t>UART-INT-002</t>
        </is>
      </c>
      <c r="B65" s="16" t="inlineStr">
        <is>
          <t>INT</t>
        </is>
      </c>
      <c r="C65" s="16" t="inlineStr">
        <is>
          <t>functional</t>
        </is>
      </c>
      <c r="D65" s="16" t="inlineStr">
        <is>
          <t>The Buffered AXI-Lite UART shall implement sticky INT_STATUS bits. Once set by a hardware event each bit shall remain set until software writes 1 to the corresponding INT_CLEAR bit.</t>
        </is>
      </c>
      <c r="E65" s="16" t="inlineStr">
        <is>
          <t>BALU-RS-001</t>
        </is>
      </c>
      <c r="F65" s="16" t="inlineStr">
        <is>
          <t>§7.6</t>
        </is>
      </c>
      <c r="G65" s="16" t="inlineStr">
        <is>
          <t>test</t>
        </is>
      </c>
      <c r="H65" s="16" t="inlineStr">
        <is>
          <t>COV-007, COV-009</t>
        </is>
      </c>
      <c r="I65" s="16" t="inlineStr">
        <is>
          <t>Each of 8 interrupt sources set and cleared independently via directed stimulus; verify IRQ asserts and deasserts correctly for each bit.</t>
        </is>
      </c>
      <c r="J65" s="16" t="inlineStr"/>
      <c r="K65" s="16" t="inlineStr">
        <is>
          <t>GENERATED</t>
        </is>
      </c>
      <c r="L65" s="16" t="inlineStr"/>
      <c r="M65" s="16" t="inlineStr"/>
      <c r="N65" s="16" t="inlineStr">
        <is>
          <t>Functional</t>
        </is>
      </c>
      <c r="O65" s="16" t="inlineStr">
        <is>
          <t>ALL</t>
        </is>
      </c>
      <c r="P65" s="16" t="inlineStr"/>
      <c r="Q65" s="16" t="inlineStr">
        <is>
          <t>vhdl/buffered_axi_lite_uart.vhd</t>
        </is>
      </c>
      <c r="R65" s="16" t="inlineStr">
        <is>
          <t>RTL</t>
        </is>
      </c>
      <c r="S65" s="16" t="inlineStr">
        <is>
          <t>NOT_RUN</t>
        </is>
      </c>
      <c r="T65" s="16" t="inlineStr"/>
      <c r="U65" s="16" t="inlineStr"/>
      <c r="V65" s="16" t="inlineStr"/>
      <c r="W65" s="16" t="inlineStr">
        <is>
          <t>NOT_RUN</t>
        </is>
      </c>
      <c r="X65" s="16" t="inlineStr"/>
      <c r="AA65" s="16" t="inlineStr"/>
      <c r="AB65" s="17">
        <f>IF(K65="WAIVED","WAIVED",IF(H65="","OPEN",IF(S65="BLOCKED","BLOCKED",IF(S65="FAIL","FAILING",IF(S65="PASS",IF(AA65&lt;&gt;"","AT_RISK",IF(AC65&lt;&gt;"","CLOSED","PASSING")),"COVERED")))))</f>
        <v/>
      </c>
      <c r="AC65" s="16" t="inlineStr"/>
      <c r="AD65" s="16" t="inlineStr"/>
      <c r="AE65" s="16" t="inlineStr"/>
      <c r="AF65" s="16" t="inlineStr">
        <is>
          <t>1.0.0</t>
        </is>
      </c>
      <c r="AG65" s="16" t="inlineStr">
        <is>
          <t>ZUBoard 1CG / Basys 3</t>
        </is>
      </c>
      <c r="AH65" s="16" t="inlineStr">
        <is>
          <t>BALU-RS-001 Rev 0.4</t>
        </is>
      </c>
    </row>
    <row r="66">
      <c r="A66" s="16" t="inlineStr">
        <is>
          <t>UART-INT-003</t>
        </is>
      </c>
      <c r="B66" s="16" t="inlineStr">
        <is>
          <t>INT</t>
        </is>
      </c>
      <c r="C66" s="16" t="inlineStr">
        <is>
          <t>functional</t>
        </is>
      </c>
      <c r="D66" s="16" t="inlineStr">
        <is>
          <t>The Buffered AXI-Lite UART shall retain INT_STATUS bits when the underlying hardware condition clears. INT_STATUS bits shall not self-clear.</t>
        </is>
      </c>
      <c r="E66" s="16" t="inlineStr">
        <is>
          <t>BALU-RS-001</t>
        </is>
      </c>
      <c r="F66" s="16" t="inlineStr">
        <is>
          <t>§7.6</t>
        </is>
      </c>
      <c r="G66" s="16" t="inlineStr">
        <is>
          <t>test</t>
        </is>
      </c>
      <c r="H66" s="16" t="inlineStr">
        <is>
          <t>COV-007</t>
        </is>
      </c>
      <c r="I66" s="16" t="inlineStr">
        <is>
          <t>Each of 8 interrupt sources set and cleared independently via directed stimulus; verify IRQ asserts and deasserts correctly for each bit.</t>
        </is>
      </c>
      <c r="J66" s="16" t="inlineStr"/>
      <c r="K66" s="16" t="inlineStr">
        <is>
          <t>GENERATED</t>
        </is>
      </c>
      <c r="L66" s="16" t="inlineStr"/>
      <c r="M66" s="16" t="inlineStr"/>
      <c r="N66" s="16" t="inlineStr">
        <is>
          <t>Functional</t>
        </is>
      </c>
      <c r="O66" s="16" t="inlineStr">
        <is>
          <t>ALL</t>
        </is>
      </c>
      <c r="P66" s="16" t="inlineStr"/>
      <c r="Q66" s="16" t="inlineStr">
        <is>
          <t>vhdl/buffered_axi_lite_uart.vhd</t>
        </is>
      </c>
      <c r="R66" s="16" t="inlineStr">
        <is>
          <t>RTL</t>
        </is>
      </c>
      <c r="S66" s="16" t="inlineStr">
        <is>
          <t>NOT_RUN</t>
        </is>
      </c>
      <c r="T66" s="16" t="inlineStr"/>
      <c r="U66" s="16" t="inlineStr"/>
      <c r="V66" s="16" t="inlineStr"/>
      <c r="W66" s="16" t="inlineStr">
        <is>
          <t>NOT_RUN</t>
        </is>
      </c>
      <c r="X66" s="16" t="inlineStr"/>
      <c r="AA66" s="16" t="inlineStr"/>
      <c r="AB66" s="17">
        <f>IF(K66="WAIVED","WAIVED",IF(H66="","OPEN",IF(S66="BLOCKED","BLOCKED",IF(S66="FAIL","FAILING",IF(S66="PASS",IF(AA66&lt;&gt;"","AT_RISK",IF(AC66&lt;&gt;"","CLOSED","PASSING")),"COVERED")))))</f>
        <v/>
      </c>
      <c r="AC66" s="16" t="inlineStr"/>
      <c r="AD66" s="16" t="inlineStr"/>
      <c r="AE66" s="16" t="inlineStr"/>
      <c r="AF66" s="16" t="inlineStr">
        <is>
          <t>1.0.0</t>
        </is>
      </c>
      <c r="AG66" s="16" t="inlineStr">
        <is>
          <t>ZUBoard 1CG / Basys 3</t>
        </is>
      </c>
      <c r="AH66" s="16" t="inlineStr">
        <is>
          <t>BALU-RS-001 Rev 0.4</t>
        </is>
      </c>
    </row>
    <row r="67">
      <c r="A67" s="16" t="inlineStr">
        <is>
          <t>UART-INT-004</t>
        </is>
      </c>
      <c r="B67" s="16" t="inlineStr">
        <is>
          <t>INT</t>
        </is>
      </c>
      <c r="C67" s="16" t="inlineStr">
        <is>
          <t>functional</t>
        </is>
      </c>
      <c r="D67" s="16" t="inlineStr">
        <is>
          <t>The Buffered AXI-Lite UART shall produce no effect on INT_STATUS when 0 is written to any INT_CLEAR bit.</t>
        </is>
      </c>
      <c r="E67" s="16" t="inlineStr">
        <is>
          <t>BALU-RS-001</t>
        </is>
      </c>
      <c r="F67" s="16" t="inlineStr">
        <is>
          <t>§7.6</t>
        </is>
      </c>
      <c r="G67" s="16" t="inlineStr">
        <is>
          <t>test</t>
        </is>
      </c>
      <c r="H67" s="16" t="inlineStr">
        <is>
          <t>COV-007</t>
        </is>
      </c>
      <c r="I67" s="16" t="inlineStr">
        <is>
          <t>Each of 8 interrupt sources set and cleared independently via directed stimulus; verify IRQ asserts and deasserts correctly for each bit.</t>
        </is>
      </c>
      <c r="J67" s="16" t="inlineStr"/>
      <c r="K67" s="16" t="inlineStr">
        <is>
          <t>GENERATED</t>
        </is>
      </c>
      <c r="L67" s="16" t="inlineStr"/>
      <c r="M67" s="16" t="inlineStr"/>
      <c r="N67" s="16" t="inlineStr">
        <is>
          <t>Functional</t>
        </is>
      </c>
      <c r="O67" s="16" t="inlineStr">
        <is>
          <t>ALL</t>
        </is>
      </c>
      <c r="P67" s="16" t="inlineStr"/>
      <c r="Q67" s="16" t="inlineStr">
        <is>
          <t>vhdl/buffered_axi_lite_uart.vhd</t>
        </is>
      </c>
      <c r="R67" s="16" t="inlineStr">
        <is>
          <t>RTL</t>
        </is>
      </c>
      <c r="S67" s="16" t="inlineStr">
        <is>
          <t>NOT_RUN</t>
        </is>
      </c>
      <c r="T67" s="16" t="inlineStr"/>
      <c r="U67" s="16" t="inlineStr"/>
      <c r="V67" s="16" t="inlineStr"/>
      <c r="W67" s="16" t="inlineStr">
        <is>
          <t>NOT_RUN</t>
        </is>
      </c>
      <c r="X67" s="16" t="inlineStr"/>
      <c r="AA67" s="16" t="inlineStr"/>
      <c r="AB67" s="17">
        <f>IF(K67="WAIVED","WAIVED",IF(H67="","OPEN",IF(S67="BLOCKED","BLOCKED",IF(S67="FAIL","FAILING",IF(S67="PASS",IF(AA67&lt;&gt;"","AT_RISK",IF(AC67&lt;&gt;"","CLOSED","PASSING")),"COVERED")))))</f>
        <v/>
      </c>
      <c r="AC67" s="16" t="inlineStr"/>
      <c r="AD67" s="16" t="inlineStr"/>
      <c r="AE67" s="16" t="inlineStr"/>
      <c r="AF67" s="16" t="inlineStr">
        <is>
          <t>1.0.0</t>
        </is>
      </c>
      <c r="AG67" s="16" t="inlineStr">
        <is>
          <t>ZUBoard 1CG / Basys 3</t>
        </is>
      </c>
      <c r="AH67" s="16" t="inlineStr">
        <is>
          <t>BALU-RS-001 Rev 0.4</t>
        </is>
      </c>
    </row>
    <row r="68">
      <c r="A68" s="16" t="inlineStr">
        <is>
          <t>UART-INT-005</t>
        </is>
      </c>
      <c r="B68" s="16" t="inlineStr">
        <is>
          <t>INT</t>
        </is>
      </c>
      <c r="C68" s="16" t="inlineStr">
        <is>
          <t>functional</t>
        </is>
      </c>
      <c r="D68" s="16" t="inlineStr">
        <is>
          <t>The Buffered AXI-Lite UART shall return zero on all reads of INT_CLEAR.</t>
        </is>
      </c>
      <c r="E68" s="16" t="inlineStr">
        <is>
          <t>BALU-RS-001</t>
        </is>
      </c>
      <c r="F68" s="16" t="inlineStr">
        <is>
          <t>§7.6</t>
        </is>
      </c>
      <c r="G68" s="16" t="inlineStr">
        <is>
          <t>test</t>
        </is>
      </c>
      <c r="H68" s="16" t="inlineStr">
        <is>
          <t>COV-007</t>
        </is>
      </c>
      <c r="I68" s="16" t="inlineStr">
        <is>
          <t>Each of 8 interrupt sources set and cleared independently via directed stimulus; verify IRQ asserts and deasserts correctly for each bit.</t>
        </is>
      </c>
      <c r="J68" s="16" t="inlineStr"/>
      <c r="K68" s="16" t="inlineStr">
        <is>
          <t>GENERATED</t>
        </is>
      </c>
      <c r="L68" s="16" t="inlineStr"/>
      <c r="M68" s="16" t="inlineStr"/>
      <c r="N68" s="16" t="inlineStr">
        <is>
          <t>Functional</t>
        </is>
      </c>
      <c r="O68" s="16" t="inlineStr">
        <is>
          <t>ALL</t>
        </is>
      </c>
      <c r="P68" s="16" t="inlineStr"/>
      <c r="Q68" s="16" t="inlineStr">
        <is>
          <t>vhdl/buffered_axi_lite_uart.vhd</t>
        </is>
      </c>
      <c r="R68" s="16" t="inlineStr">
        <is>
          <t>RTL</t>
        </is>
      </c>
      <c r="S68" s="16" t="inlineStr">
        <is>
          <t>NOT_RUN</t>
        </is>
      </c>
      <c r="T68" s="16" t="inlineStr"/>
      <c r="U68" s="16" t="inlineStr"/>
      <c r="V68" s="16" t="inlineStr"/>
      <c r="W68" s="16" t="inlineStr">
        <is>
          <t>NOT_RUN</t>
        </is>
      </c>
      <c r="X68" s="16" t="inlineStr"/>
      <c r="AA68" s="16" t="inlineStr"/>
      <c r="AB68" s="17">
        <f>IF(K68="WAIVED","WAIVED",IF(H68="","OPEN",IF(S68="BLOCKED","BLOCKED",IF(S68="FAIL","FAILING",IF(S68="PASS",IF(AA68&lt;&gt;"","AT_RISK",IF(AC68&lt;&gt;"","CLOSED","PASSING")),"COVERED")))))</f>
        <v/>
      </c>
      <c r="AC68" s="16" t="inlineStr"/>
      <c r="AD68" s="16" t="inlineStr"/>
      <c r="AE68" s="16" t="inlineStr"/>
      <c r="AF68" s="16" t="inlineStr">
        <is>
          <t>1.0.0</t>
        </is>
      </c>
      <c r="AG68" s="16" t="inlineStr">
        <is>
          <t>ZUBoard 1CG / Basys 3</t>
        </is>
      </c>
      <c r="AH68" s="16" t="inlineStr">
        <is>
          <t>BALU-RS-001 Rev 0.4</t>
        </is>
      </c>
    </row>
    <row r="69">
      <c r="A69" s="16" t="inlineStr">
        <is>
          <t>UART-INT-006</t>
        </is>
      </c>
      <c r="B69" s="16" t="inlineStr">
        <is>
          <t>INT</t>
        </is>
      </c>
      <c r="C69" s="16" t="inlineStr">
        <is>
          <t>functional</t>
        </is>
      </c>
      <c r="D69" s="16" t="inlineStr">
        <is>
          <t>The Buffered AXI-Lite UART shall reset INT_ENABLE to 0x00, masking all interrupt sources at power-on.</t>
        </is>
      </c>
      <c r="E69" s="16" t="inlineStr">
        <is>
          <t>BALU-RS-001</t>
        </is>
      </c>
      <c r="F69" s="16" t="inlineStr">
        <is>
          <t>§7.6</t>
        </is>
      </c>
      <c r="G69" s="16" t="inlineStr">
        <is>
          <t>test</t>
        </is>
      </c>
      <c r="H69" s="16" t="inlineStr">
        <is>
          <t>COV-007</t>
        </is>
      </c>
      <c r="I69" s="16" t="inlineStr">
        <is>
          <t>Each of 8 interrupt sources set and cleared independently via directed stimulus; verify IRQ asserts and deasserts correctly for each bit.</t>
        </is>
      </c>
      <c r="J69" s="16" t="inlineStr"/>
      <c r="K69" s="16" t="inlineStr">
        <is>
          <t>GENERATED</t>
        </is>
      </c>
      <c r="L69" s="16" t="inlineStr"/>
      <c r="M69" s="16" t="inlineStr"/>
      <c r="N69" s="16" t="inlineStr">
        <is>
          <t>Functional</t>
        </is>
      </c>
      <c r="O69" s="16" t="inlineStr">
        <is>
          <t>ALL</t>
        </is>
      </c>
      <c r="P69" s="16" t="inlineStr"/>
      <c r="Q69" s="16" t="inlineStr">
        <is>
          <t>vhdl/buffered_axi_lite_uart.vhd</t>
        </is>
      </c>
      <c r="R69" s="16" t="inlineStr">
        <is>
          <t>RTL</t>
        </is>
      </c>
      <c r="S69" s="16" t="inlineStr">
        <is>
          <t>NOT_RUN</t>
        </is>
      </c>
      <c r="T69" s="16" t="inlineStr"/>
      <c r="U69" s="16" t="inlineStr"/>
      <c r="V69" s="16" t="inlineStr"/>
      <c r="W69" s="16" t="inlineStr">
        <is>
          <t>NOT_RUN</t>
        </is>
      </c>
      <c r="X69" s="16" t="inlineStr"/>
      <c r="AA69" s="16" t="inlineStr"/>
      <c r="AB69" s="17">
        <f>IF(K69="WAIVED","WAIVED",IF(H69="","OPEN",IF(S69="BLOCKED","BLOCKED",IF(S69="FAIL","FAILING",IF(S69="PASS",IF(AA69&lt;&gt;"","AT_RISK",IF(AC69&lt;&gt;"","CLOSED","PASSING")),"COVERED")))))</f>
        <v/>
      </c>
      <c r="AC69" s="16" t="inlineStr"/>
      <c r="AD69" s="16" t="inlineStr"/>
      <c r="AE69" s="16" t="inlineStr"/>
      <c r="AF69" s="16" t="inlineStr">
        <is>
          <t>1.0.0</t>
        </is>
      </c>
      <c r="AG69" s="16" t="inlineStr">
        <is>
          <t>ZUBoard 1CG / Basys 3</t>
        </is>
      </c>
      <c r="AH69" s="16" t="inlineStr">
        <is>
          <t>BALU-RS-001 Rev 0.4</t>
        </is>
      </c>
    </row>
    <row r="70">
      <c r="A70" s="16" t="inlineStr">
        <is>
          <t>UART-INT-007</t>
        </is>
      </c>
      <c r="B70" s="16" t="inlineStr">
        <is>
          <t>INT</t>
        </is>
      </c>
      <c r="C70" s="16" t="inlineStr">
        <is>
          <t>functional</t>
        </is>
      </c>
      <c r="D70" s="16" t="inlineStr">
        <is>
          <t>The Buffered AXI-Lite UART shall assert the top-level IRQ output when any INT_STATUS bit is set and its corresponding INT_ENABLE bit is asserted.</t>
        </is>
      </c>
      <c r="E70" s="16" t="inlineStr">
        <is>
          <t>BALU-RS-001</t>
        </is>
      </c>
      <c r="F70" s="16" t="inlineStr">
        <is>
          <t>§7.6</t>
        </is>
      </c>
      <c r="G70" s="16" t="inlineStr">
        <is>
          <t>test</t>
        </is>
      </c>
      <c r="H70" s="16" t="inlineStr">
        <is>
          <t>COV-007</t>
        </is>
      </c>
      <c r="I70" s="16" t="inlineStr">
        <is>
          <t>Each of 8 interrupt sources set and cleared independently via directed stimulus; verify IRQ asserts and deasserts correctly for each bit.</t>
        </is>
      </c>
      <c r="J70" s="16" t="inlineStr"/>
      <c r="K70" s="16" t="inlineStr">
        <is>
          <t>GENERATED</t>
        </is>
      </c>
      <c r="L70" s="16" t="inlineStr"/>
      <c r="M70" s="16" t="inlineStr"/>
      <c r="N70" s="16" t="inlineStr">
        <is>
          <t>Functional</t>
        </is>
      </c>
      <c r="O70" s="16" t="inlineStr">
        <is>
          <t>ALL</t>
        </is>
      </c>
      <c r="P70" s="16" t="inlineStr"/>
      <c r="Q70" s="16" t="inlineStr">
        <is>
          <t>vhdl/buffered_axi_lite_uart.vhd</t>
        </is>
      </c>
      <c r="R70" s="16" t="inlineStr">
        <is>
          <t>RTL</t>
        </is>
      </c>
      <c r="S70" s="16" t="inlineStr">
        <is>
          <t>NOT_RUN</t>
        </is>
      </c>
      <c r="T70" s="16" t="inlineStr"/>
      <c r="U70" s="16" t="inlineStr"/>
      <c r="V70" s="16" t="inlineStr"/>
      <c r="W70" s="16" t="inlineStr">
        <is>
          <t>NOT_RUN</t>
        </is>
      </c>
      <c r="X70" s="16" t="inlineStr"/>
      <c r="AA70" s="16" t="inlineStr"/>
      <c r="AB70" s="17">
        <f>IF(K70="WAIVED","WAIVED",IF(H70="","OPEN",IF(S70="BLOCKED","BLOCKED",IF(S70="FAIL","FAILING",IF(S70="PASS",IF(AA70&lt;&gt;"","AT_RISK",IF(AC70&lt;&gt;"","CLOSED","PASSING")),"COVERED")))))</f>
        <v/>
      </c>
      <c r="AC70" s="16" t="inlineStr"/>
      <c r="AD70" s="16" t="inlineStr"/>
      <c r="AE70" s="16" t="inlineStr"/>
      <c r="AF70" s="16" t="inlineStr">
        <is>
          <t>1.0.0</t>
        </is>
      </c>
      <c r="AG70" s="16" t="inlineStr">
        <is>
          <t>ZUBoard 1CG / Basys 3</t>
        </is>
      </c>
      <c r="AH70" s="16" t="inlineStr">
        <is>
          <t>BALU-RS-001 Rev 0.4</t>
        </is>
      </c>
    </row>
    <row r="71">
      <c r="A71" s="16" t="inlineStr">
        <is>
          <t>UART-INT-008</t>
        </is>
      </c>
      <c r="B71" s="16" t="inlineStr">
        <is>
          <t>INT</t>
        </is>
      </c>
      <c r="C71" s="16" t="inlineStr">
        <is>
          <t>functional</t>
        </is>
      </c>
      <c r="D71" s="16" t="inlineStr">
        <is>
          <t>The Buffered AXI-Lite UART shall deassert the IRQ output when no INT_STATUS bit has a corresponding asserted INT_ENABLE bit.</t>
        </is>
      </c>
      <c r="E71" s="16" t="inlineStr">
        <is>
          <t>BALU-RS-001</t>
        </is>
      </c>
      <c r="F71" s="16" t="inlineStr">
        <is>
          <t>§7.6</t>
        </is>
      </c>
      <c r="G71" s="16" t="inlineStr">
        <is>
          <t>test</t>
        </is>
      </c>
      <c r="H71" s="16" t="inlineStr">
        <is>
          <t>COV-007, COV-009</t>
        </is>
      </c>
      <c r="I71" s="16" t="inlineStr">
        <is>
          <t>Each of 8 interrupt sources set and cleared independently via directed stimulus; verify IRQ asserts and deasserts correctly for each bit.</t>
        </is>
      </c>
      <c r="J71" s="16" t="inlineStr"/>
      <c r="K71" s="16" t="inlineStr">
        <is>
          <t>GENERATED</t>
        </is>
      </c>
      <c r="L71" s="16" t="inlineStr"/>
      <c r="M71" s="16" t="inlineStr"/>
      <c r="N71" s="16" t="inlineStr">
        <is>
          <t>Functional</t>
        </is>
      </c>
      <c r="O71" s="16" t="inlineStr">
        <is>
          <t>ALL</t>
        </is>
      </c>
      <c r="P71" s="16" t="inlineStr"/>
      <c r="Q71" s="16" t="inlineStr">
        <is>
          <t>vhdl/buffered_axi_lite_uart.vhd</t>
        </is>
      </c>
      <c r="R71" s="16" t="inlineStr">
        <is>
          <t>RTL</t>
        </is>
      </c>
      <c r="S71" s="16" t="inlineStr">
        <is>
          <t>NOT_RUN</t>
        </is>
      </c>
      <c r="T71" s="16" t="inlineStr"/>
      <c r="U71" s="16" t="inlineStr"/>
      <c r="V71" s="16" t="inlineStr"/>
      <c r="W71" s="16" t="inlineStr">
        <is>
          <t>NOT_RUN</t>
        </is>
      </c>
      <c r="X71" s="16" t="inlineStr"/>
      <c r="AA71" s="16" t="inlineStr"/>
      <c r="AB71" s="17">
        <f>IF(K71="WAIVED","WAIVED",IF(H71="","OPEN",IF(S71="BLOCKED","BLOCKED",IF(S71="FAIL","FAILING",IF(S71="PASS",IF(AA71&lt;&gt;"","AT_RISK",IF(AC71&lt;&gt;"","CLOSED","PASSING")),"COVERED")))))</f>
        <v/>
      </c>
      <c r="AC71" s="16" t="inlineStr"/>
      <c r="AD71" s="16" t="inlineStr"/>
      <c r="AE71" s="16" t="inlineStr"/>
      <c r="AF71" s="16" t="inlineStr">
        <is>
          <t>1.0.0</t>
        </is>
      </c>
      <c r="AG71" s="16" t="inlineStr">
        <is>
          <t>ZUBoard 1CG / Basys 3</t>
        </is>
      </c>
      <c r="AH71" s="16" t="inlineStr">
        <is>
          <t>BALU-RS-001 Rev 0.4</t>
        </is>
      </c>
    </row>
    <row r="72">
      <c r="A72" s="16" t="inlineStr">
        <is>
          <t>UART-INT-009</t>
        </is>
      </c>
      <c r="B72" s="16" t="inlineStr">
        <is>
          <t>INT</t>
        </is>
      </c>
      <c r="C72" s="16" t="inlineStr">
        <is>
          <t>functional</t>
        </is>
      </c>
      <c r="D72" s="16" t="inlineStr">
        <is>
          <t>The Buffered AXI-Lite UART shall set TX_THRESH in INT_STATUS when TX FIFO occupancy falls strictly below FIFO_CTRL.TX_THRESH.</t>
        </is>
      </c>
      <c r="E72" s="16" t="inlineStr">
        <is>
          <t>BALU-RS-001</t>
        </is>
      </c>
      <c r="F72" s="16" t="inlineStr">
        <is>
          <t>§7.6</t>
        </is>
      </c>
      <c r="G72" s="16" t="inlineStr">
        <is>
          <t>test</t>
        </is>
      </c>
      <c r="H72" s="16" t="inlineStr">
        <is>
          <t>COV-019</t>
        </is>
      </c>
      <c r="I72" s="16" t="inlineStr">
        <is>
          <t>Drive TX_THRESH and RX_THRESH interrupt conditions, inject FRAME_ERR via stop-bit corruption, enable TIMEOUT interrupt; verify each INT_STATUS bit controlled by INT_ENABLE gate.</t>
        </is>
      </c>
      <c r="J72" s="16" t="inlineStr"/>
      <c r="K72" s="16" t="inlineStr">
        <is>
          <t>GENERATED</t>
        </is>
      </c>
      <c r="L72" s="16" t="inlineStr"/>
      <c r="M72" s="16" t="inlineStr"/>
      <c r="N72" s="16" t="inlineStr">
        <is>
          <t>Functional</t>
        </is>
      </c>
      <c r="O72" s="16" t="inlineStr">
        <is>
          <t>ALL</t>
        </is>
      </c>
      <c r="P72" s="16" t="inlineStr"/>
      <c r="Q72" s="16" t="inlineStr">
        <is>
          <t>vhdl/buffered_axi_lite_uart.vhd</t>
        </is>
      </c>
      <c r="R72" s="16" t="inlineStr">
        <is>
          <t>RTL</t>
        </is>
      </c>
      <c r="S72" s="16" t="inlineStr">
        <is>
          <t>NOT_RUN</t>
        </is>
      </c>
      <c r="T72" s="16" t="inlineStr"/>
      <c r="U72" s="16" t="inlineStr"/>
      <c r="V72" s="16" t="inlineStr"/>
      <c r="W72" s="16" t="inlineStr">
        <is>
          <t>NOT_RUN</t>
        </is>
      </c>
      <c r="X72" s="16" t="inlineStr"/>
      <c r="AA72" s="16" t="inlineStr"/>
      <c r="AB72" s="17">
        <f>IF(K72="WAIVED","WAIVED",IF(H72="","OPEN",IF(S72="BLOCKED","BLOCKED",IF(S72="FAIL","FAILING",IF(S72="PASS",IF(AA72&lt;&gt;"","AT_RISK",IF(AC72&lt;&gt;"","CLOSED","PASSING")),"COVERED")))))</f>
        <v/>
      </c>
      <c r="AC72" s="16" t="inlineStr"/>
      <c r="AD72" s="16" t="inlineStr"/>
      <c r="AE72" s="16" t="inlineStr"/>
      <c r="AF72" s="16" t="inlineStr">
        <is>
          <t>1.0.0</t>
        </is>
      </c>
      <c r="AG72" s="16" t="inlineStr">
        <is>
          <t>ZUBoard 1CG / Basys 3</t>
        </is>
      </c>
      <c r="AH72" s="16" t="inlineStr">
        <is>
          <t>BALU-RS-001 Rev 0.4</t>
        </is>
      </c>
    </row>
    <row r="73">
      <c r="A73" s="16" t="inlineStr">
        <is>
          <t>UART-INT-010</t>
        </is>
      </c>
      <c r="B73" s="16" t="inlineStr">
        <is>
          <t>INT</t>
        </is>
      </c>
      <c r="C73" s="16" t="inlineStr">
        <is>
          <t>functional</t>
        </is>
      </c>
      <c r="D73" s="16" t="inlineStr">
        <is>
          <t>The Buffered AXI-Lite UART shall set RX_THRESH in INT_STATUS when RX FIFO occupancy rises strictly above FIFO_CTRL.RX_THRESH.</t>
        </is>
      </c>
      <c r="E73" s="16" t="inlineStr">
        <is>
          <t>BALU-RS-001</t>
        </is>
      </c>
      <c r="F73" s="16" t="inlineStr">
        <is>
          <t>§7.6</t>
        </is>
      </c>
      <c r="G73" s="16" t="inlineStr">
        <is>
          <t>test</t>
        </is>
      </c>
      <c r="H73" s="16" t="inlineStr">
        <is>
          <t>COV-019</t>
        </is>
      </c>
      <c r="I73" s="16" t="inlineStr">
        <is>
          <t>Drive TX_THRESH and RX_THRESH interrupt conditions, inject FRAME_ERR via stop-bit corruption, enable TIMEOUT interrupt; verify each INT_STATUS bit controlled by INT_ENABLE gate.</t>
        </is>
      </c>
      <c r="J73" s="16" t="inlineStr"/>
      <c r="K73" s="16" t="inlineStr">
        <is>
          <t>GENERATED</t>
        </is>
      </c>
      <c r="L73" s="16" t="inlineStr"/>
      <c r="M73" s="16" t="inlineStr"/>
      <c r="N73" s="16" t="inlineStr">
        <is>
          <t>Functional</t>
        </is>
      </c>
      <c r="O73" s="16" t="inlineStr">
        <is>
          <t>ALL</t>
        </is>
      </c>
      <c r="P73" s="16" t="inlineStr"/>
      <c r="Q73" s="16" t="inlineStr">
        <is>
          <t>vhdl/buffered_axi_lite_uart.vhd</t>
        </is>
      </c>
      <c r="R73" s="16" t="inlineStr">
        <is>
          <t>RTL</t>
        </is>
      </c>
      <c r="S73" s="16" t="inlineStr">
        <is>
          <t>NOT_RUN</t>
        </is>
      </c>
      <c r="T73" s="16" t="inlineStr"/>
      <c r="U73" s="16" t="inlineStr"/>
      <c r="V73" s="16" t="inlineStr"/>
      <c r="W73" s="16" t="inlineStr">
        <is>
          <t>NOT_RUN</t>
        </is>
      </c>
      <c r="X73" s="16" t="inlineStr"/>
      <c r="AA73" s="16" t="inlineStr"/>
      <c r="AB73" s="17">
        <f>IF(K73="WAIVED","WAIVED",IF(H73="","OPEN",IF(S73="BLOCKED","BLOCKED",IF(S73="FAIL","FAILING",IF(S73="PASS",IF(AA73&lt;&gt;"","AT_RISK",IF(AC73&lt;&gt;"","CLOSED","PASSING")),"COVERED")))))</f>
        <v/>
      </c>
      <c r="AC73" s="16" t="inlineStr"/>
      <c r="AD73" s="16" t="inlineStr"/>
      <c r="AE73" s="16" t="inlineStr"/>
      <c r="AF73" s="16" t="inlineStr">
        <is>
          <t>1.0.0</t>
        </is>
      </c>
      <c r="AG73" s="16" t="inlineStr">
        <is>
          <t>ZUBoard 1CG / Basys 3</t>
        </is>
      </c>
      <c r="AH73" s="16" t="inlineStr">
        <is>
          <t>BALU-RS-001 Rev 0.4</t>
        </is>
      </c>
    </row>
    <row r="74">
      <c r="A74" s="16" t="inlineStr">
        <is>
          <t>UART-INT-011</t>
        </is>
      </c>
      <c r="B74" s="16" t="inlineStr">
        <is>
          <t>INT</t>
        </is>
      </c>
      <c r="C74" s="16" t="inlineStr">
        <is>
          <t>functional</t>
        </is>
      </c>
      <c r="D74" s="16" t="inlineStr">
        <is>
          <t>The Buffered AXI-Lite UART shall set OVERRUN in INT_STATUS on each RX overrun event when INT_ENABLE.OVERRUN_EN is asserted.</t>
        </is>
      </c>
      <c r="E74" s="16" t="inlineStr">
        <is>
          <t>BALU-RS-001</t>
        </is>
      </c>
      <c r="F74" s="16" t="inlineStr">
        <is>
          <t>§7.6</t>
        </is>
      </c>
      <c r="G74" s="16" t="inlineStr">
        <is>
          <t>test</t>
        </is>
      </c>
      <c r="H74" s="16" t="inlineStr">
        <is>
          <t>COV-019</t>
        </is>
      </c>
      <c r="I74" s="16" t="inlineStr">
        <is>
          <t>Drive TX_THRESH and RX_THRESH interrupt conditions, inject FRAME_ERR via stop-bit corruption, enable TIMEOUT interrupt; verify each INT_STATUS bit controlled by INT_ENABLE gate.</t>
        </is>
      </c>
      <c r="J74" s="16" t="inlineStr"/>
      <c r="K74" s="16" t="inlineStr">
        <is>
          <t>GENERATED</t>
        </is>
      </c>
      <c r="L74" s="16" t="inlineStr"/>
      <c r="M74" s="16" t="inlineStr"/>
      <c r="N74" s="16" t="inlineStr">
        <is>
          <t>Functional</t>
        </is>
      </c>
      <c r="O74" s="16" t="inlineStr">
        <is>
          <t>ALL</t>
        </is>
      </c>
      <c r="P74" s="16" t="inlineStr"/>
      <c r="Q74" s="16" t="inlineStr">
        <is>
          <t>vhdl/buffered_axi_lite_uart.vhd</t>
        </is>
      </c>
      <c r="R74" s="16" t="inlineStr">
        <is>
          <t>RTL</t>
        </is>
      </c>
      <c r="S74" s="16" t="inlineStr">
        <is>
          <t>NOT_RUN</t>
        </is>
      </c>
      <c r="T74" s="16" t="inlineStr"/>
      <c r="U74" s="16" t="inlineStr"/>
      <c r="V74" s="16" t="inlineStr"/>
      <c r="W74" s="16" t="inlineStr">
        <is>
          <t>NOT_RUN</t>
        </is>
      </c>
      <c r="X74" s="16" t="inlineStr"/>
      <c r="AA74" s="16" t="inlineStr"/>
      <c r="AB74" s="17">
        <f>IF(K74="WAIVED","WAIVED",IF(H74="","OPEN",IF(S74="BLOCKED","BLOCKED",IF(S74="FAIL","FAILING",IF(S74="PASS",IF(AA74&lt;&gt;"","AT_RISK",IF(AC74&lt;&gt;"","CLOSED","PASSING")),"COVERED")))))</f>
        <v/>
      </c>
      <c r="AC74" s="16" t="inlineStr"/>
      <c r="AD74" s="16" t="inlineStr"/>
      <c r="AE74" s="16" t="inlineStr"/>
      <c r="AF74" s="16" t="inlineStr">
        <is>
          <t>1.0.0</t>
        </is>
      </c>
      <c r="AG74" s="16" t="inlineStr">
        <is>
          <t>ZUBoard 1CG / Basys 3</t>
        </is>
      </c>
      <c r="AH74" s="16" t="inlineStr">
        <is>
          <t>BALU-RS-001 Rev 0.4</t>
        </is>
      </c>
    </row>
    <row r="75">
      <c r="A75" s="16" t="inlineStr">
        <is>
          <t>UART-INT-012</t>
        </is>
      </c>
      <c r="B75" s="16" t="inlineStr">
        <is>
          <t>INT</t>
        </is>
      </c>
      <c r="C75" s="16" t="inlineStr">
        <is>
          <t>functional</t>
        </is>
      </c>
      <c r="D75" s="16" t="inlineStr">
        <is>
          <t>The Buffered AXI-Lite UART shall set PARITY_ERR in INT_STATUS on each parity error detection event when INT_ENABLE.PARITY_ERR_EN is asserted.</t>
        </is>
      </c>
      <c r="E75" s="16" t="inlineStr">
        <is>
          <t>BALU-RS-001</t>
        </is>
      </c>
      <c r="F75" s="16" t="inlineStr">
        <is>
          <t>§7.6</t>
        </is>
      </c>
      <c r="G75" s="16" t="inlineStr">
        <is>
          <t>test</t>
        </is>
      </c>
      <c r="H75" s="16" t="inlineStr">
        <is>
          <t>COV-019</t>
        </is>
      </c>
      <c r="I75" s="16" t="inlineStr">
        <is>
          <t>Drive TX_THRESH and RX_THRESH interrupt conditions, inject FRAME_ERR via stop-bit corruption, enable TIMEOUT interrupt; verify each INT_STATUS bit controlled by INT_ENABLE gate.</t>
        </is>
      </c>
      <c r="J75" s="16" t="inlineStr"/>
      <c r="K75" s="16" t="inlineStr">
        <is>
          <t>GENERATED</t>
        </is>
      </c>
      <c r="L75" s="16" t="inlineStr"/>
      <c r="M75" s="16" t="inlineStr"/>
      <c r="N75" s="16" t="inlineStr">
        <is>
          <t>Functional</t>
        </is>
      </c>
      <c r="O75" s="16" t="inlineStr">
        <is>
          <t>ALL</t>
        </is>
      </c>
      <c r="P75" s="16" t="inlineStr"/>
      <c r="Q75" s="16" t="inlineStr">
        <is>
          <t>vhdl/buffered_axi_lite_uart.vhd</t>
        </is>
      </c>
      <c r="R75" s="16" t="inlineStr">
        <is>
          <t>RTL</t>
        </is>
      </c>
      <c r="S75" s="16" t="inlineStr">
        <is>
          <t>NOT_RUN</t>
        </is>
      </c>
      <c r="T75" s="16" t="inlineStr"/>
      <c r="U75" s="16" t="inlineStr"/>
      <c r="V75" s="16" t="inlineStr"/>
      <c r="W75" s="16" t="inlineStr">
        <is>
          <t>NOT_RUN</t>
        </is>
      </c>
      <c r="X75" s="16" t="inlineStr"/>
      <c r="AA75" s="16" t="inlineStr"/>
      <c r="AB75" s="17">
        <f>IF(K75="WAIVED","WAIVED",IF(H75="","OPEN",IF(S75="BLOCKED","BLOCKED",IF(S75="FAIL","FAILING",IF(S75="PASS",IF(AA75&lt;&gt;"","AT_RISK",IF(AC75&lt;&gt;"","CLOSED","PASSING")),"COVERED")))))</f>
        <v/>
      </c>
      <c r="AC75" s="16" t="inlineStr"/>
      <c r="AD75" s="16" t="inlineStr"/>
      <c r="AE75" s="16" t="inlineStr"/>
      <c r="AF75" s="16" t="inlineStr">
        <is>
          <t>1.0.0</t>
        </is>
      </c>
      <c r="AG75" s="16" t="inlineStr">
        <is>
          <t>ZUBoard 1CG / Basys 3</t>
        </is>
      </c>
      <c r="AH75" s="16" t="inlineStr">
        <is>
          <t>BALU-RS-001 Rev 0.4</t>
        </is>
      </c>
    </row>
    <row r="76">
      <c r="A76" s="16" t="inlineStr">
        <is>
          <t>UART-INT-013</t>
        </is>
      </c>
      <c r="B76" s="16" t="inlineStr">
        <is>
          <t>INT</t>
        </is>
      </c>
      <c r="C76" s="16" t="inlineStr">
        <is>
          <t>functional</t>
        </is>
      </c>
      <c r="D76" s="16" t="inlineStr">
        <is>
          <t>The Buffered AXI-Lite UART shall set FRAME_ERR in INT_STATUS when a framing error is detected — specifically when the stop bit field does not contain a valid stop bit — when INT_ENABLE.FRAME_ERR_EN is asserted.</t>
        </is>
      </c>
      <c r="E76" s="16" t="inlineStr">
        <is>
          <t>BALU-RS-001</t>
        </is>
      </c>
      <c r="F76" s="16" t="inlineStr">
        <is>
          <t>§7.6</t>
        </is>
      </c>
      <c r="G76" s="16" t="inlineStr">
        <is>
          <t>test</t>
        </is>
      </c>
      <c r="H76" s="16" t="inlineStr">
        <is>
          <t>COV-019</t>
        </is>
      </c>
      <c r="I76" s="16" t="inlineStr">
        <is>
          <t>Drive TX_THRESH and RX_THRESH interrupt conditions, inject FRAME_ERR via stop-bit corruption, enable TIMEOUT interrupt; verify each INT_STATUS bit controlled by INT_ENABLE gate.</t>
        </is>
      </c>
      <c r="J76" s="16" t="inlineStr"/>
      <c r="K76" s="16" t="inlineStr">
        <is>
          <t>GENERATED</t>
        </is>
      </c>
      <c r="L76" s="16" t="inlineStr"/>
      <c r="M76" s="16" t="inlineStr"/>
      <c r="N76" s="16" t="inlineStr">
        <is>
          <t>Functional</t>
        </is>
      </c>
      <c r="O76" s="16" t="inlineStr">
        <is>
          <t>ALL</t>
        </is>
      </c>
      <c r="P76" s="16" t="inlineStr"/>
      <c r="Q76" s="16" t="inlineStr">
        <is>
          <t>vhdl/buffered_axi_lite_uart.vhd</t>
        </is>
      </c>
      <c r="R76" s="16" t="inlineStr">
        <is>
          <t>RTL</t>
        </is>
      </c>
      <c r="S76" s="16" t="inlineStr">
        <is>
          <t>NOT_RUN</t>
        </is>
      </c>
      <c r="T76" s="16" t="inlineStr"/>
      <c r="U76" s="16" t="inlineStr"/>
      <c r="V76" s="16" t="inlineStr"/>
      <c r="W76" s="16" t="inlineStr">
        <is>
          <t>NOT_RUN</t>
        </is>
      </c>
      <c r="X76" s="16" t="inlineStr"/>
      <c r="AA76" s="16" t="inlineStr"/>
      <c r="AB76" s="17">
        <f>IF(K76="WAIVED","WAIVED",IF(H76="","OPEN",IF(S76="BLOCKED","BLOCKED",IF(S76="FAIL","FAILING",IF(S76="PASS",IF(AA76&lt;&gt;"","AT_RISK",IF(AC76&lt;&gt;"","CLOSED","PASSING")),"COVERED")))))</f>
        <v/>
      </c>
      <c r="AC76" s="16" t="inlineStr"/>
      <c r="AD76" s="16" t="inlineStr"/>
      <c r="AE76" s="16" t="inlineStr"/>
      <c r="AF76" s="16" t="inlineStr">
        <is>
          <t>1.0.0</t>
        </is>
      </c>
      <c r="AG76" s="16" t="inlineStr">
        <is>
          <t>ZUBoard 1CG / Basys 3</t>
        </is>
      </c>
      <c r="AH76" s="16" t="inlineStr">
        <is>
          <t>BALU-RS-001 Rev 0.4</t>
        </is>
      </c>
    </row>
    <row r="77">
      <c r="A77" s="16" t="inlineStr">
        <is>
          <t>UART-REG-001</t>
        </is>
      </c>
      <c r="B77" s="16" t="inlineStr">
        <is>
          <t>REG</t>
        </is>
      </c>
      <c r="C77" s="16" t="inlineStr">
        <is>
          <t>structural</t>
        </is>
      </c>
      <c r="D77" s="16" t="inlineStr">
        <is>
          <t>The Buffered AXI-Lite UART shall locate all registers at 32-bit aligned offsets within the peripheral address space.</t>
        </is>
      </c>
      <c r="E77" s="16" t="inlineStr">
        <is>
          <t>BALU-RS-001</t>
        </is>
      </c>
      <c r="F77" s="16" t="inlineStr">
        <is>
          <t>§8.1</t>
        </is>
      </c>
      <c r="G77" s="16" t="inlineStr">
        <is>
          <t>inspection</t>
        </is>
      </c>
      <c r="H77" s="16" t="inlineStr">
        <is>
          <t>COV-010, COV-011</t>
        </is>
      </c>
      <c r="I77" s="16" t="inlineStr">
        <is>
          <t>AXI write to valid register offset (OKAY expected) and to undefined offset 0x30 (SLVERR expected); capture BRESP each time.</t>
        </is>
      </c>
      <c r="J77" s="16" t="inlineStr"/>
      <c r="K77" s="16" t="inlineStr">
        <is>
          <t>GENERATED</t>
        </is>
      </c>
      <c r="L77" s="16" t="inlineStr"/>
      <c r="M77" s="16" t="inlineStr"/>
      <c r="N77" s="16" t="inlineStr">
        <is>
          <t>Structural</t>
        </is>
      </c>
      <c r="O77" s="16" t="inlineStr">
        <is>
          <t>ALL</t>
        </is>
      </c>
      <c r="P77" s="16" t="inlineStr"/>
      <c r="Q77" s="16" t="inlineStr">
        <is>
          <t>vhdl/buffered_axi_lite_uart.vhd</t>
        </is>
      </c>
      <c r="R77" s="16" t="inlineStr">
        <is>
          <t>RTL</t>
        </is>
      </c>
      <c r="S77" s="16" t="inlineStr">
        <is>
          <t>NOT_RUN</t>
        </is>
      </c>
      <c r="T77" s="16" t="inlineStr"/>
      <c r="U77" s="16" t="inlineStr"/>
      <c r="V77" s="16" t="inlineStr"/>
      <c r="W77" s="16" t="inlineStr">
        <is>
          <t>NOT_RUN</t>
        </is>
      </c>
      <c r="X77" s="16" t="inlineStr"/>
      <c r="AA77" s="16" t="inlineStr"/>
      <c r="AB77" s="17">
        <f>IF(K77="WAIVED","WAIVED",IF(H77="","OPEN",IF(S77="BLOCKED","BLOCKED",IF(S77="FAIL","FAILING",IF(S77="PASS",IF(AA77&lt;&gt;"","AT_RISK",IF(AC77&lt;&gt;"","CLOSED","PASSING")),"COVERED")))))</f>
        <v/>
      </c>
      <c r="AC77" s="16" t="inlineStr"/>
      <c r="AD77" s="16" t="inlineStr"/>
      <c r="AE77" s="16" t="inlineStr"/>
      <c r="AF77" s="16" t="inlineStr">
        <is>
          <t>1.0.0</t>
        </is>
      </c>
      <c r="AG77" s="16" t="inlineStr">
        <is>
          <t>ZUBoard 1CG / Basys 3</t>
        </is>
      </c>
      <c r="AH77" s="16" t="inlineStr">
        <is>
          <t>BALU-RS-001 Rev 0.4</t>
        </is>
      </c>
    </row>
    <row r="78">
      <c r="A78" s="16" t="inlineStr">
        <is>
          <t>UART-REG-002</t>
        </is>
      </c>
      <c r="B78" s="16" t="inlineStr">
        <is>
          <t>REG</t>
        </is>
      </c>
      <c r="C78" s="16" t="inlineStr">
        <is>
          <t>structural</t>
        </is>
      </c>
      <c r="D78" s="16" t="inlineStr">
        <is>
          <t>The Buffered AXI-Lite UART shall return zero from all reserved fields on any read.</t>
        </is>
      </c>
      <c r="E78" s="16" t="inlineStr">
        <is>
          <t>BALU-RS-001</t>
        </is>
      </c>
      <c r="F78" s="16" t="inlineStr">
        <is>
          <t>§8.1</t>
        </is>
      </c>
      <c r="G78" s="16" t="inlineStr">
        <is>
          <t>test</t>
        </is>
      </c>
      <c r="H78" s="16" t="inlineStr">
        <is>
          <t>COV-018</t>
        </is>
      </c>
      <c r="I78" s="16" t="inlineStr">
        <is>
          <t>Write to each read-only register (STATUS, FIFO_STATUS, INT_STATUS, INT_CLEAR, TX_DATA reads, RX_DATA writes); read back and verify state unchanged.</t>
        </is>
      </c>
      <c r="J78" s="16" t="inlineStr"/>
      <c r="K78" s="16" t="inlineStr">
        <is>
          <t>GENERATED</t>
        </is>
      </c>
      <c r="L78" s="16" t="inlineStr"/>
      <c r="M78" s="16" t="inlineStr"/>
      <c r="N78" s="16" t="inlineStr">
        <is>
          <t>Structural</t>
        </is>
      </c>
      <c r="O78" s="16" t="inlineStr">
        <is>
          <t>ALL</t>
        </is>
      </c>
      <c r="P78" s="16" t="inlineStr"/>
      <c r="Q78" s="16" t="inlineStr">
        <is>
          <t>vhdl/buffered_axi_lite_uart.vhd</t>
        </is>
      </c>
      <c r="R78" s="16" t="inlineStr">
        <is>
          <t>RTL</t>
        </is>
      </c>
      <c r="S78" s="16" t="inlineStr">
        <is>
          <t>NOT_RUN</t>
        </is>
      </c>
      <c r="T78" s="16" t="inlineStr"/>
      <c r="U78" s="16" t="inlineStr"/>
      <c r="V78" s="16" t="inlineStr"/>
      <c r="W78" s="16" t="inlineStr">
        <is>
          <t>NOT_RUN</t>
        </is>
      </c>
      <c r="X78" s="16" t="inlineStr"/>
      <c r="AA78" s="16" t="inlineStr"/>
      <c r="AB78" s="17">
        <f>IF(K78="WAIVED","WAIVED",IF(H78="","OPEN",IF(S78="BLOCKED","BLOCKED",IF(S78="FAIL","FAILING",IF(S78="PASS",IF(AA78&lt;&gt;"","AT_RISK",IF(AC78&lt;&gt;"","CLOSED","PASSING")),"COVERED")))))</f>
        <v/>
      </c>
      <c r="AC78" s="16" t="inlineStr"/>
      <c r="AD78" s="16" t="inlineStr"/>
      <c r="AE78" s="16" t="inlineStr"/>
      <c r="AF78" s="16" t="inlineStr">
        <is>
          <t>1.0.0</t>
        </is>
      </c>
      <c r="AG78" s="16" t="inlineStr">
        <is>
          <t>ZUBoard 1CG / Basys 3</t>
        </is>
      </c>
      <c r="AH78" s="16" t="inlineStr">
        <is>
          <t>BALU-RS-001 Rev 0.4</t>
        </is>
      </c>
    </row>
    <row r="79">
      <c r="A79" s="16" t="inlineStr">
        <is>
          <t>UART-REG-003</t>
        </is>
      </c>
      <c r="B79" s="16" t="inlineStr">
        <is>
          <t>REG</t>
        </is>
      </c>
      <c r="C79" s="16" t="inlineStr">
        <is>
          <t>structural</t>
        </is>
      </c>
      <c r="D79" s="16" t="inlineStr">
        <is>
          <t>The Buffered AXI-Lite UART shall silently ignore writes to reserved fields, leaving reserved field content unchanged.</t>
        </is>
      </c>
      <c r="E79" s="16" t="inlineStr">
        <is>
          <t>BALU-RS-001</t>
        </is>
      </c>
      <c r="F79" s="16" t="inlineStr">
        <is>
          <t>§8.1</t>
        </is>
      </c>
      <c r="G79" s="16" t="inlineStr">
        <is>
          <t>test</t>
        </is>
      </c>
      <c r="H79" s="16" t="inlineStr">
        <is>
          <t>COV-018</t>
        </is>
      </c>
      <c r="I79" s="16" t="inlineStr">
        <is>
          <t>Write to each read-only register (STATUS, FIFO_STATUS, INT_STATUS, INT_CLEAR, TX_DATA reads, RX_DATA writes); read back and verify state unchanged.</t>
        </is>
      </c>
      <c r="J79" s="16" t="inlineStr"/>
      <c r="K79" s="16" t="inlineStr">
        <is>
          <t>GENERATED</t>
        </is>
      </c>
      <c r="L79" s="16" t="inlineStr"/>
      <c r="M79" s="16" t="inlineStr"/>
      <c r="N79" s="16" t="inlineStr">
        <is>
          <t>Structural</t>
        </is>
      </c>
      <c r="O79" s="16" t="inlineStr">
        <is>
          <t>ALL</t>
        </is>
      </c>
      <c r="P79" s="16" t="inlineStr"/>
      <c r="Q79" s="16" t="inlineStr">
        <is>
          <t>vhdl/buffered_axi_lite_uart.vhd</t>
        </is>
      </c>
      <c r="R79" s="16" t="inlineStr">
        <is>
          <t>RTL</t>
        </is>
      </c>
      <c r="S79" s="16" t="inlineStr">
        <is>
          <t>NOT_RUN</t>
        </is>
      </c>
      <c r="T79" s="16" t="inlineStr"/>
      <c r="U79" s="16" t="inlineStr"/>
      <c r="V79" s="16" t="inlineStr"/>
      <c r="W79" s="16" t="inlineStr">
        <is>
          <t>NOT_RUN</t>
        </is>
      </c>
      <c r="X79" s="16" t="inlineStr"/>
      <c r="AA79" s="16" t="inlineStr"/>
      <c r="AB79" s="17">
        <f>IF(K79="WAIVED","WAIVED",IF(H79="","OPEN",IF(S79="BLOCKED","BLOCKED",IF(S79="FAIL","FAILING",IF(S79="PASS",IF(AA79&lt;&gt;"","AT_RISK",IF(AC79&lt;&gt;"","CLOSED","PASSING")),"COVERED")))))</f>
        <v/>
      </c>
      <c r="AC79" s="16" t="inlineStr"/>
      <c r="AD79" s="16" t="inlineStr"/>
      <c r="AE79" s="16" t="inlineStr"/>
      <c r="AF79" s="16" t="inlineStr">
        <is>
          <t>1.0.0</t>
        </is>
      </c>
      <c r="AG79" s="16" t="inlineStr">
        <is>
          <t>ZUBoard 1CG / Basys 3</t>
        </is>
      </c>
      <c r="AH79" s="16" t="inlineStr">
        <is>
          <t>BALU-RS-001 Rev 0.4</t>
        </is>
      </c>
    </row>
    <row r="80">
      <c r="A80" s="16" t="inlineStr">
        <is>
          <t>UART-REG-004</t>
        </is>
      </c>
      <c r="B80" s="16" t="inlineStr">
        <is>
          <t>REG</t>
        </is>
      </c>
      <c r="C80" s="16" t="inlineStr">
        <is>
          <t>structural</t>
        </is>
      </c>
      <c r="D80" s="16" t="inlineStr">
        <is>
          <t>The Buffered AXI-Lite UART shall return all registers to their defined reset values following assertion of the peripheral reset input.</t>
        </is>
      </c>
      <c r="E80" s="16" t="inlineStr">
        <is>
          <t>BALU-RS-001</t>
        </is>
      </c>
      <c r="F80" s="16" t="inlineStr">
        <is>
          <t>§8.1</t>
        </is>
      </c>
      <c r="G80" s="16" t="inlineStr">
        <is>
          <t>test</t>
        </is>
      </c>
      <c r="H80" s="16" t="inlineStr">
        <is>
          <t>COV-015</t>
        </is>
      </c>
      <c r="I80" s="16" t="inlineStr">
        <is>
          <t>Assert then deassert reset; read all 12 registers and compare each field to the reset value specified in Table 8-x.</t>
        </is>
      </c>
      <c r="J80" s="16" t="inlineStr"/>
      <c r="K80" s="16" t="inlineStr">
        <is>
          <t>GENERATED</t>
        </is>
      </c>
      <c r="L80" s="16" t="inlineStr"/>
      <c r="M80" s="16" t="inlineStr"/>
      <c r="N80" s="16" t="inlineStr">
        <is>
          <t>Structural</t>
        </is>
      </c>
      <c r="O80" s="16" t="inlineStr">
        <is>
          <t>ALL</t>
        </is>
      </c>
      <c r="P80" s="16" t="inlineStr"/>
      <c r="Q80" s="16" t="inlineStr">
        <is>
          <t>vhdl/buffered_axi_lite_uart.vhd</t>
        </is>
      </c>
      <c r="R80" s="16" t="inlineStr">
        <is>
          <t>RTL</t>
        </is>
      </c>
      <c r="S80" s="16" t="inlineStr">
        <is>
          <t>NOT_RUN</t>
        </is>
      </c>
      <c r="T80" s="16" t="inlineStr"/>
      <c r="U80" s="16" t="inlineStr"/>
      <c r="V80" s="16" t="inlineStr"/>
      <c r="W80" s="16" t="inlineStr">
        <is>
          <t>NOT_RUN</t>
        </is>
      </c>
      <c r="X80" s="16" t="inlineStr"/>
      <c r="AA80" s="16" t="inlineStr"/>
      <c r="AB80" s="17">
        <f>IF(K80="WAIVED","WAIVED",IF(H80="","OPEN",IF(S80="BLOCKED","BLOCKED",IF(S80="FAIL","FAILING",IF(S80="PASS",IF(AA80&lt;&gt;"","AT_RISK",IF(AC80&lt;&gt;"","CLOSED","PASSING")),"COVERED")))))</f>
        <v/>
      </c>
      <c r="AC80" s="16" t="inlineStr"/>
      <c r="AD80" s="16" t="inlineStr"/>
      <c r="AE80" s="16" t="inlineStr"/>
      <c r="AF80" s="16" t="inlineStr">
        <is>
          <t>1.0.0</t>
        </is>
      </c>
      <c r="AG80" s="16" t="inlineStr">
        <is>
          <t>ZUBoard 1CG / Basys 3</t>
        </is>
      </c>
      <c r="AH80" s="16" t="inlineStr">
        <is>
          <t>BALU-RS-001 Rev 0.4</t>
        </is>
      </c>
    </row>
    <row r="81">
      <c r="A81" s="16" t="inlineStr">
        <is>
          <t>UART-REG-005</t>
        </is>
      </c>
      <c r="B81" s="16" t="inlineStr">
        <is>
          <t>REG</t>
        </is>
      </c>
      <c r="C81" s="16" t="inlineStr">
        <is>
          <t>structural</t>
        </is>
      </c>
      <c r="D81" s="16" t="inlineStr">
        <is>
          <t>The Buffered AXI-Lite UART shall assign CTRL[7] as the UART_EN master enable bit per UART-EN-001.</t>
        </is>
      </c>
      <c r="E81" s="16" t="inlineStr">
        <is>
          <t>BALU-RS-001</t>
        </is>
      </c>
      <c r="F81" s="16" t="inlineStr">
        <is>
          <t>§8.2</t>
        </is>
      </c>
      <c r="G81" s="16" t="inlineStr">
        <is>
          <t>test</t>
        </is>
      </c>
      <c r="H81" s="16" t="inlineStr">
        <is>
          <t>COV-016</t>
        </is>
      </c>
      <c r="I81" s="16" t="inlineStr">
        <is>
          <t>Deassert UART_EN and verify TX/RX halt; then independently gate TX_EN and RX_EN with UART_EN=1 to verify path isolation; set LOOP_EN and verify loopback active.</t>
        </is>
      </c>
      <c r="J81" s="16" t="inlineStr"/>
      <c r="K81" s="16" t="inlineStr">
        <is>
          <t>GENERATED</t>
        </is>
      </c>
      <c r="L81" s="16" t="inlineStr"/>
      <c r="M81" s="16" t="inlineStr"/>
      <c r="N81" s="16" t="inlineStr">
        <is>
          <t>Structural</t>
        </is>
      </c>
      <c r="O81" s="16" t="inlineStr">
        <is>
          <t>ALL</t>
        </is>
      </c>
      <c r="P81" s="16" t="inlineStr"/>
      <c r="Q81" s="16" t="inlineStr">
        <is>
          <t>vhdl/buffered_axi_lite_uart.vhd</t>
        </is>
      </c>
      <c r="R81" s="16" t="inlineStr">
        <is>
          <t>RTL</t>
        </is>
      </c>
      <c r="S81" s="16" t="inlineStr">
        <is>
          <t>NOT_RUN</t>
        </is>
      </c>
      <c r="T81" s="16" t="inlineStr"/>
      <c r="U81" s="16" t="inlineStr"/>
      <c r="V81" s="16" t="inlineStr"/>
      <c r="W81" s="16" t="inlineStr">
        <is>
          <t>NOT_RUN</t>
        </is>
      </c>
      <c r="X81" s="16" t="inlineStr"/>
      <c r="AA81" s="16" t="inlineStr"/>
      <c r="AB81" s="17">
        <f>IF(K81="WAIVED","WAIVED",IF(H81="","OPEN",IF(S81="BLOCKED","BLOCKED",IF(S81="FAIL","FAILING",IF(S81="PASS",IF(AA81&lt;&gt;"","AT_RISK",IF(AC81&lt;&gt;"","CLOSED","PASSING")),"COVERED")))))</f>
        <v/>
      </c>
      <c r="AC81" s="16" t="inlineStr"/>
      <c r="AD81" s="16" t="inlineStr"/>
      <c r="AE81" s="16" t="inlineStr"/>
      <c r="AF81" s="16" t="inlineStr">
        <is>
          <t>1.0.0</t>
        </is>
      </c>
      <c r="AG81" s="16" t="inlineStr">
        <is>
          <t>ZUBoard 1CG / Basys 3</t>
        </is>
      </c>
      <c r="AH81" s="16" t="inlineStr">
        <is>
          <t>BALU-RS-001 Rev 0.4</t>
        </is>
      </c>
    </row>
    <row r="82">
      <c r="A82" s="16" t="inlineStr">
        <is>
          <t>UART-REG-006</t>
        </is>
      </c>
      <c r="B82" s="16" t="inlineStr">
        <is>
          <t>REG</t>
        </is>
      </c>
      <c r="C82" s="16" t="inlineStr">
        <is>
          <t>structural</t>
        </is>
      </c>
      <c r="D82" s="16" t="inlineStr">
        <is>
          <t>The Buffered AXI-Lite UART shall assign CTRL[6] as the TX_EN transmit enable bit per UART-EN-002.</t>
        </is>
      </c>
      <c r="E82" s="16" t="inlineStr">
        <is>
          <t>BALU-RS-001</t>
        </is>
      </c>
      <c r="F82" s="16" t="inlineStr">
        <is>
          <t>§8.2</t>
        </is>
      </c>
      <c r="G82" s="16" t="inlineStr">
        <is>
          <t>test</t>
        </is>
      </c>
      <c r="H82" s="16" t="inlineStr">
        <is>
          <t>COV-016</t>
        </is>
      </c>
      <c r="I82" s="16" t="inlineStr">
        <is>
          <t>Deassert UART_EN and verify TX/RX halt; then independently gate TX_EN and RX_EN with UART_EN=1 to verify path isolation; set LOOP_EN and verify loopback active.</t>
        </is>
      </c>
      <c r="J82" s="16" t="inlineStr"/>
      <c r="K82" s="16" t="inlineStr">
        <is>
          <t>GENERATED</t>
        </is>
      </c>
      <c r="L82" s="16" t="inlineStr"/>
      <c r="M82" s="16" t="inlineStr"/>
      <c r="N82" s="16" t="inlineStr">
        <is>
          <t>Structural</t>
        </is>
      </c>
      <c r="O82" s="16" t="inlineStr">
        <is>
          <t>ALL</t>
        </is>
      </c>
      <c r="P82" s="16" t="inlineStr"/>
      <c r="Q82" s="16" t="inlineStr">
        <is>
          <t>vhdl/buffered_axi_lite_uart.vhd</t>
        </is>
      </c>
      <c r="R82" s="16" t="inlineStr">
        <is>
          <t>RTL</t>
        </is>
      </c>
      <c r="S82" s="16" t="inlineStr">
        <is>
          <t>NOT_RUN</t>
        </is>
      </c>
      <c r="T82" s="16" t="inlineStr"/>
      <c r="U82" s="16" t="inlineStr"/>
      <c r="V82" s="16" t="inlineStr"/>
      <c r="W82" s="16" t="inlineStr">
        <is>
          <t>NOT_RUN</t>
        </is>
      </c>
      <c r="X82" s="16" t="inlineStr"/>
      <c r="AA82" s="16" t="inlineStr"/>
      <c r="AB82" s="17">
        <f>IF(K82="WAIVED","WAIVED",IF(H82="","OPEN",IF(S82="BLOCKED","BLOCKED",IF(S82="FAIL","FAILING",IF(S82="PASS",IF(AA82&lt;&gt;"","AT_RISK",IF(AC82&lt;&gt;"","CLOSED","PASSING")),"COVERED")))))</f>
        <v/>
      </c>
      <c r="AC82" s="16" t="inlineStr"/>
      <c r="AD82" s="16" t="inlineStr"/>
      <c r="AE82" s="16" t="inlineStr"/>
      <c r="AF82" s="16" t="inlineStr">
        <is>
          <t>1.0.0</t>
        </is>
      </c>
      <c r="AG82" s="16" t="inlineStr">
        <is>
          <t>ZUBoard 1CG / Basys 3</t>
        </is>
      </c>
      <c r="AH82" s="16" t="inlineStr">
        <is>
          <t>BALU-RS-001 Rev 0.4</t>
        </is>
      </c>
    </row>
    <row r="83">
      <c r="A83" s="16" t="inlineStr">
        <is>
          <t>UART-REG-007</t>
        </is>
      </c>
      <c r="B83" s="16" t="inlineStr">
        <is>
          <t>REG</t>
        </is>
      </c>
      <c r="C83" s="16" t="inlineStr">
        <is>
          <t>structural</t>
        </is>
      </c>
      <c r="D83" s="16" t="inlineStr">
        <is>
          <t>The Buffered AXI-Lite UART shall assign CTRL[5] as the RX_EN receive enable bit per UART-EN-003.</t>
        </is>
      </c>
      <c r="E83" s="16" t="inlineStr">
        <is>
          <t>BALU-RS-001</t>
        </is>
      </c>
      <c r="F83" s="16" t="inlineStr">
        <is>
          <t>§8.2</t>
        </is>
      </c>
      <c r="G83" s="16" t="inlineStr">
        <is>
          <t>test</t>
        </is>
      </c>
      <c r="H83" s="16" t="inlineStr">
        <is>
          <t>COV-016</t>
        </is>
      </c>
      <c r="I83" s="16" t="inlineStr">
        <is>
          <t>Deassert UART_EN and verify TX/RX halt; then independently gate TX_EN and RX_EN with UART_EN=1 to verify path isolation; set LOOP_EN and verify loopback active.</t>
        </is>
      </c>
      <c r="J83" s="16" t="inlineStr"/>
      <c r="K83" s="16" t="inlineStr">
        <is>
          <t>GENERATED</t>
        </is>
      </c>
      <c r="L83" s="16" t="inlineStr"/>
      <c r="M83" s="16" t="inlineStr"/>
      <c r="N83" s="16" t="inlineStr">
        <is>
          <t>Structural</t>
        </is>
      </c>
      <c r="O83" s="16" t="inlineStr">
        <is>
          <t>ALL</t>
        </is>
      </c>
      <c r="P83" s="16" t="inlineStr"/>
      <c r="Q83" s="16" t="inlineStr">
        <is>
          <t>vhdl/buffered_axi_lite_uart.vhd</t>
        </is>
      </c>
      <c r="R83" s="16" t="inlineStr">
        <is>
          <t>RTL</t>
        </is>
      </c>
      <c r="S83" s="16" t="inlineStr">
        <is>
          <t>NOT_RUN</t>
        </is>
      </c>
      <c r="T83" s="16" t="inlineStr"/>
      <c r="U83" s="16" t="inlineStr"/>
      <c r="V83" s="16" t="inlineStr"/>
      <c r="W83" s="16" t="inlineStr">
        <is>
          <t>NOT_RUN</t>
        </is>
      </c>
      <c r="X83" s="16" t="inlineStr"/>
      <c r="AA83" s="16" t="inlineStr"/>
      <c r="AB83" s="17">
        <f>IF(K83="WAIVED","WAIVED",IF(H83="","OPEN",IF(S83="BLOCKED","BLOCKED",IF(S83="FAIL","FAILING",IF(S83="PASS",IF(AA83&lt;&gt;"","AT_RISK",IF(AC83&lt;&gt;"","CLOSED","PASSING")),"COVERED")))))</f>
        <v/>
      </c>
      <c r="AC83" s="16" t="inlineStr"/>
      <c r="AD83" s="16" t="inlineStr"/>
      <c r="AE83" s="16" t="inlineStr"/>
      <c r="AF83" s="16" t="inlineStr">
        <is>
          <t>1.0.0</t>
        </is>
      </c>
      <c r="AG83" s="16" t="inlineStr">
        <is>
          <t>ZUBoard 1CG / Basys 3</t>
        </is>
      </c>
      <c r="AH83" s="16" t="inlineStr">
        <is>
          <t>BALU-RS-001 Rev 0.4</t>
        </is>
      </c>
    </row>
    <row r="84">
      <c r="A84" s="16" t="inlineStr">
        <is>
          <t>UART-REG-008</t>
        </is>
      </c>
      <c r="B84" s="16" t="inlineStr">
        <is>
          <t>REG</t>
        </is>
      </c>
      <c r="C84" s="16" t="inlineStr">
        <is>
          <t>structural</t>
        </is>
      </c>
      <c r="D84" s="16" t="inlineStr">
        <is>
          <t>The Buffered AXI-Lite UART shall assign CTRL[4] as the LOOP_EN loopback enable bit per UART-EN-005.</t>
        </is>
      </c>
      <c r="E84" s="16" t="inlineStr">
        <is>
          <t>BALU-RS-001</t>
        </is>
      </c>
      <c r="F84" s="16" t="inlineStr">
        <is>
          <t>§8.2</t>
        </is>
      </c>
      <c r="G84" s="16" t="inlineStr">
        <is>
          <t>test</t>
        </is>
      </c>
      <c r="H84" s="16" t="inlineStr">
        <is>
          <t>COV-016</t>
        </is>
      </c>
      <c r="I84" s="16" t="inlineStr">
        <is>
          <t>Deassert UART_EN and verify TX/RX halt; then independently gate TX_EN and RX_EN with UART_EN=1 to verify path isolation; set LOOP_EN and verify loopback active.</t>
        </is>
      </c>
      <c r="J84" s="16" t="inlineStr"/>
      <c r="K84" s="16" t="inlineStr">
        <is>
          <t>GENERATED</t>
        </is>
      </c>
      <c r="L84" s="16" t="inlineStr"/>
      <c r="M84" s="16" t="inlineStr"/>
      <c r="N84" s="16" t="inlineStr">
        <is>
          <t>Structural</t>
        </is>
      </c>
      <c r="O84" s="16" t="inlineStr">
        <is>
          <t>ALL</t>
        </is>
      </c>
      <c r="P84" s="16" t="inlineStr"/>
      <c r="Q84" s="16" t="inlineStr">
        <is>
          <t>vhdl/buffered_axi_lite_uart.vhd</t>
        </is>
      </c>
      <c r="R84" s="16" t="inlineStr">
        <is>
          <t>RTL</t>
        </is>
      </c>
      <c r="S84" s="16" t="inlineStr">
        <is>
          <t>NOT_RUN</t>
        </is>
      </c>
      <c r="T84" s="16" t="inlineStr"/>
      <c r="U84" s="16" t="inlineStr"/>
      <c r="V84" s="16" t="inlineStr"/>
      <c r="W84" s="16" t="inlineStr">
        <is>
          <t>NOT_RUN</t>
        </is>
      </c>
      <c r="X84" s="16" t="inlineStr"/>
      <c r="AA84" s="16" t="inlineStr"/>
      <c r="AB84" s="17">
        <f>IF(K84="WAIVED","WAIVED",IF(H84="","OPEN",IF(S84="BLOCKED","BLOCKED",IF(S84="FAIL","FAILING",IF(S84="PASS",IF(AA84&lt;&gt;"","AT_RISK",IF(AC84&lt;&gt;"","CLOSED","PASSING")),"COVERED")))))</f>
        <v/>
      </c>
      <c r="AC84" s="16" t="inlineStr"/>
      <c r="AD84" s="16" t="inlineStr"/>
      <c r="AE84" s="16" t="inlineStr"/>
      <c r="AF84" s="16" t="inlineStr">
        <is>
          <t>1.0.0</t>
        </is>
      </c>
      <c r="AG84" s="16" t="inlineStr">
        <is>
          <t>ZUBoard 1CG / Basys 3</t>
        </is>
      </c>
      <c r="AH84" s="16" t="inlineStr">
        <is>
          <t>BALU-RS-001 Rev 0.4</t>
        </is>
      </c>
    </row>
    <row r="85">
      <c r="A85" s="16" t="inlineStr">
        <is>
          <t>UART-REG-009</t>
        </is>
      </c>
      <c r="B85" s="16" t="inlineStr">
        <is>
          <t>REG</t>
        </is>
      </c>
      <c r="C85" s="16" t="inlineStr">
        <is>
          <t>structural</t>
        </is>
      </c>
      <c r="D85" s="16" t="inlineStr">
        <is>
          <t>The Buffered AXI-Lite UART shall assign CTRL[3:2] as the PARITY field per UART-FF-005 through UART-FF-008.</t>
        </is>
      </c>
      <c r="E85" s="16" t="inlineStr">
        <is>
          <t>BALU-RS-001</t>
        </is>
      </c>
      <c r="F85" s="16" t="inlineStr">
        <is>
          <t>§8.2</t>
        </is>
      </c>
      <c r="G85" s="16" t="inlineStr">
        <is>
          <t>test</t>
        </is>
      </c>
      <c r="H85" s="16" t="inlineStr">
        <is>
          <t>COV-002</t>
        </is>
      </c>
      <c r="I85" s="16" t="inlineStr">
        <is>
          <t>All four parity modes (00/01/10/11) exercised independently in LOOP_EN loopback; inject parity error bit for odd and even modes.</t>
        </is>
      </c>
      <c r="J85" s="16" t="inlineStr"/>
      <c r="K85" s="16" t="inlineStr">
        <is>
          <t>GENERATED</t>
        </is>
      </c>
      <c r="L85" s="16" t="inlineStr"/>
      <c r="M85" s="16" t="inlineStr"/>
      <c r="N85" s="16" t="inlineStr">
        <is>
          <t>Structural</t>
        </is>
      </c>
      <c r="O85" s="16" t="inlineStr">
        <is>
          <t>ALL</t>
        </is>
      </c>
      <c r="P85" s="16" t="inlineStr"/>
      <c r="Q85" s="16" t="inlineStr">
        <is>
          <t>vhdl/buffered_axi_lite_uart.vhd</t>
        </is>
      </c>
      <c r="R85" s="16" t="inlineStr">
        <is>
          <t>RTL</t>
        </is>
      </c>
      <c r="S85" s="16" t="inlineStr">
        <is>
          <t>NOT_RUN</t>
        </is>
      </c>
      <c r="T85" s="16" t="inlineStr"/>
      <c r="U85" s="16" t="inlineStr"/>
      <c r="V85" s="16" t="inlineStr"/>
      <c r="W85" s="16" t="inlineStr">
        <is>
          <t>NOT_RUN</t>
        </is>
      </c>
      <c r="X85" s="16" t="inlineStr"/>
      <c r="AA85" s="16" t="inlineStr"/>
      <c r="AB85" s="17">
        <f>IF(K85="WAIVED","WAIVED",IF(H85="","OPEN",IF(S85="BLOCKED","BLOCKED",IF(S85="FAIL","FAILING",IF(S85="PASS",IF(AA85&lt;&gt;"","AT_RISK",IF(AC85&lt;&gt;"","CLOSED","PASSING")),"COVERED")))))</f>
        <v/>
      </c>
      <c r="AC85" s="16" t="inlineStr"/>
      <c r="AD85" s="16" t="inlineStr"/>
      <c r="AE85" s="16" t="inlineStr"/>
      <c r="AF85" s="16" t="inlineStr">
        <is>
          <t>1.0.0</t>
        </is>
      </c>
      <c r="AG85" s="16" t="inlineStr">
        <is>
          <t>ZUBoard 1CG / Basys 3</t>
        </is>
      </c>
      <c r="AH85" s="16" t="inlineStr">
        <is>
          <t>BALU-RS-001 Rev 0.4</t>
        </is>
      </c>
    </row>
    <row r="86">
      <c r="A86" s="16" t="inlineStr">
        <is>
          <t>UART-REG-010</t>
        </is>
      </c>
      <c r="B86" s="16" t="inlineStr">
        <is>
          <t>REG</t>
        </is>
      </c>
      <c r="C86" s="16" t="inlineStr">
        <is>
          <t>structural</t>
        </is>
      </c>
      <c r="D86" s="16" t="inlineStr">
        <is>
          <t>The Buffered AXI-Lite UART shall assign CTRL[1] as the STOP_BITS field per UART-FF-002 and UART-FF-003.</t>
        </is>
      </c>
      <c r="E86" s="16" t="inlineStr">
        <is>
          <t>BALU-RS-001</t>
        </is>
      </c>
      <c r="F86" s="16" t="inlineStr">
        <is>
          <t>§8.2</t>
        </is>
      </c>
      <c r="G86" s="16" t="inlineStr">
        <is>
          <t>test</t>
        </is>
      </c>
      <c r="H86" s="16" t="inlineStr">
        <is>
          <t>COV-003</t>
        </is>
      </c>
      <c r="I86" s="16" t="inlineStr">
        <is>
          <t>Both stop bit configurations (1 and 2 stop bits) exercised in LOOP_EN loopback with frame integrity check.</t>
        </is>
      </c>
      <c r="J86" s="16" t="inlineStr"/>
      <c r="K86" s="16" t="inlineStr">
        <is>
          <t>GENERATED</t>
        </is>
      </c>
      <c r="L86" s="16" t="inlineStr"/>
      <c r="M86" s="16" t="inlineStr"/>
      <c r="N86" s="16" t="inlineStr">
        <is>
          <t>Structural</t>
        </is>
      </c>
      <c r="O86" s="16" t="inlineStr">
        <is>
          <t>ALL</t>
        </is>
      </c>
      <c r="P86" s="16" t="inlineStr"/>
      <c r="Q86" s="16" t="inlineStr">
        <is>
          <t>vhdl/buffered_axi_lite_uart.vhd</t>
        </is>
      </c>
      <c r="R86" s="16" t="inlineStr">
        <is>
          <t>RTL</t>
        </is>
      </c>
      <c r="S86" s="16" t="inlineStr">
        <is>
          <t>NOT_RUN</t>
        </is>
      </c>
      <c r="T86" s="16" t="inlineStr"/>
      <c r="U86" s="16" t="inlineStr"/>
      <c r="V86" s="16" t="inlineStr"/>
      <c r="W86" s="16" t="inlineStr">
        <is>
          <t>NOT_RUN</t>
        </is>
      </c>
      <c r="X86" s="16" t="inlineStr"/>
      <c r="AA86" s="16" t="inlineStr"/>
      <c r="AB86" s="17">
        <f>IF(K86="WAIVED","WAIVED",IF(H86="","OPEN",IF(S86="BLOCKED","BLOCKED",IF(S86="FAIL","FAILING",IF(S86="PASS",IF(AA86&lt;&gt;"","AT_RISK",IF(AC86&lt;&gt;"","CLOSED","PASSING")),"COVERED")))))</f>
        <v/>
      </c>
      <c r="AC86" s="16" t="inlineStr"/>
      <c r="AD86" s="16" t="inlineStr"/>
      <c r="AE86" s="16" t="inlineStr"/>
      <c r="AF86" s="16" t="inlineStr">
        <is>
          <t>1.0.0</t>
        </is>
      </c>
      <c r="AG86" s="16" t="inlineStr">
        <is>
          <t>ZUBoard 1CG / Basys 3</t>
        </is>
      </c>
      <c r="AH86" s="16" t="inlineStr">
        <is>
          <t>BALU-RS-001 Rev 0.4</t>
        </is>
      </c>
    </row>
    <row r="87">
      <c r="A87" s="16" t="inlineStr">
        <is>
          <t>UART-REG-011</t>
        </is>
      </c>
      <c r="B87" s="16" t="inlineStr">
        <is>
          <t>REG</t>
        </is>
      </c>
      <c r="C87" s="16" t="inlineStr">
        <is>
          <t>structural</t>
        </is>
      </c>
      <c r="D87" s="16" t="inlineStr">
        <is>
          <t>The Buffered AXI-Lite UART shall reserve CTRL[0] as read-only zero.</t>
        </is>
      </c>
      <c r="E87" s="16" t="inlineStr">
        <is>
          <t>BALU-RS-001</t>
        </is>
      </c>
      <c r="F87" s="16" t="inlineStr">
        <is>
          <t>§8.2</t>
        </is>
      </c>
      <c r="G87" s="16" t="inlineStr">
        <is>
          <t>test</t>
        </is>
      </c>
      <c r="H87" s="16" t="inlineStr">
        <is>
          <t>COV-018</t>
        </is>
      </c>
      <c r="I87" s="16" t="inlineStr">
        <is>
          <t>Write to each read-only register (STATUS, FIFO_STATUS, INT_STATUS, INT_CLEAR, TX_DATA reads, RX_DATA writes); read back and verify state unchanged.</t>
        </is>
      </c>
      <c r="J87" s="16" t="inlineStr"/>
      <c r="K87" s="16" t="inlineStr">
        <is>
          <t>GENERATED</t>
        </is>
      </c>
      <c r="L87" s="16" t="inlineStr"/>
      <c r="M87" s="16" t="inlineStr"/>
      <c r="N87" s="16" t="inlineStr">
        <is>
          <t>Structural</t>
        </is>
      </c>
      <c r="O87" s="16" t="inlineStr">
        <is>
          <t>ALL</t>
        </is>
      </c>
      <c r="P87" s="16" t="inlineStr"/>
      <c r="Q87" s="16" t="inlineStr">
        <is>
          <t>vhdl/buffered_axi_lite_uart.vhd</t>
        </is>
      </c>
      <c r="R87" s="16" t="inlineStr">
        <is>
          <t>RTL</t>
        </is>
      </c>
      <c r="S87" s="16" t="inlineStr">
        <is>
          <t>NOT_RUN</t>
        </is>
      </c>
      <c r="T87" s="16" t="inlineStr"/>
      <c r="U87" s="16" t="inlineStr"/>
      <c r="V87" s="16" t="inlineStr"/>
      <c r="W87" s="16" t="inlineStr">
        <is>
          <t>NOT_RUN</t>
        </is>
      </c>
      <c r="X87" s="16" t="inlineStr"/>
      <c r="AA87" s="16" t="inlineStr"/>
      <c r="AB87" s="17">
        <f>IF(K87="WAIVED","WAIVED",IF(H87="","OPEN",IF(S87="BLOCKED","BLOCKED",IF(S87="FAIL","FAILING",IF(S87="PASS",IF(AA87&lt;&gt;"","AT_RISK",IF(AC87&lt;&gt;"","CLOSED","PASSING")),"COVERED")))))</f>
        <v/>
      </c>
      <c r="AC87" s="16" t="inlineStr"/>
      <c r="AD87" s="16" t="inlineStr"/>
      <c r="AE87" s="16" t="inlineStr"/>
      <c r="AF87" s="16" t="inlineStr">
        <is>
          <t>1.0.0</t>
        </is>
      </c>
      <c r="AG87" s="16" t="inlineStr">
        <is>
          <t>ZUBoard 1CG / Basys 3</t>
        </is>
      </c>
      <c r="AH87" s="16" t="inlineStr">
        <is>
          <t>BALU-RS-001 Rev 0.4</t>
        </is>
      </c>
    </row>
    <row r="88">
      <c r="A88" s="16" t="inlineStr">
        <is>
          <t>UART-REG-012</t>
        </is>
      </c>
      <c r="B88" s="16" t="inlineStr">
        <is>
          <t>REG</t>
        </is>
      </c>
      <c r="C88" s="16" t="inlineStr">
        <is>
          <t>structural</t>
        </is>
      </c>
      <c r="D88" s="16" t="inlineStr">
        <is>
          <t>The Buffered AXI-Lite UART shall implement STATUS as a read-only register, silently ignoring writes.</t>
        </is>
      </c>
      <c r="E88" s="16" t="inlineStr">
        <is>
          <t>BALU-RS-001</t>
        </is>
      </c>
      <c r="F88" s="16" t="inlineStr">
        <is>
          <t>§8.3</t>
        </is>
      </c>
      <c r="G88" s="16" t="inlineStr">
        <is>
          <t>test</t>
        </is>
      </c>
      <c r="H88" s="16" t="inlineStr">
        <is>
          <t>COV-018</t>
        </is>
      </c>
      <c r="I88" s="16" t="inlineStr">
        <is>
          <t>Write to each read-only register (STATUS, FIFO_STATUS, INT_STATUS, INT_CLEAR, TX_DATA reads, RX_DATA writes); read back and verify state unchanged.</t>
        </is>
      </c>
      <c r="J88" s="16" t="inlineStr"/>
      <c r="K88" s="16" t="inlineStr">
        <is>
          <t>GENERATED</t>
        </is>
      </c>
      <c r="L88" s="16" t="inlineStr"/>
      <c r="M88" s="16" t="inlineStr"/>
      <c r="N88" s="16" t="inlineStr">
        <is>
          <t>Structural</t>
        </is>
      </c>
      <c r="O88" s="16" t="inlineStr">
        <is>
          <t>ALL</t>
        </is>
      </c>
      <c r="P88" s="16" t="inlineStr"/>
      <c r="Q88" s="16" t="inlineStr">
        <is>
          <t>vhdl/buffered_axi_lite_uart.vhd</t>
        </is>
      </c>
      <c r="R88" s="16" t="inlineStr">
        <is>
          <t>RTL</t>
        </is>
      </c>
      <c r="S88" s="16" t="inlineStr">
        <is>
          <t>NOT_RUN</t>
        </is>
      </c>
      <c r="T88" s="16" t="inlineStr"/>
      <c r="U88" s="16" t="inlineStr"/>
      <c r="V88" s="16" t="inlineStr"/>
      <c r="W88" s="16" t="inlineStr">
        <is>
          <t>NOT_RUN</t>
        </is>
      </c>
      <c r="X88" s="16" t="inlineStr"/>
      <c r="AA88" s="16" t="inlineStr"/>
      <c r="AB88" s="17">
        <f>IF(K88="WAIVED","WAIVED",IF(H88="","OPEN",IF(S88="BLOCKED","BLOCKED",IF(S88="FAIL","FAILING",IF(S88="PASS",IF(AA88&lt;&gt;"","AT_RISK",IF(AC88&lt;&gt;"","CLOSED","PASSING")),"COVERED")))))</f>
        <v/>
      </c>
      <c r="AC88" s="16" t="inlineStr"/>
      <c r="AD88" s="16" t="inlineStr"/>
      <c r="AE88" s="16" t="inlineStr"/>
      <c r="AF88" s="16" t="inlineStr">
        <is>
          <t>1.0.0</t>
        </is>
      </c>
      <c r="AG88" s="16" t="inlineStr">
        <is>
          <t>ZUBoard 1CG / Basys 3</t>
        </is>
      </c>
      <c r="AH88" s="16" t="inlineStr">
        <is>
          <t>BALU-RS-001 Rev 0.4</t>
        </is>
      </c>
    </row>
    <row r="89">
      <c r="A89" s="16" t="inlineStr">
        <is>
          <t>UART-REG-013</t>
        </is>
      </c>
      <c r="B89" s="16" t="inlineStr">
        <is>
          <t>REG</t>
        </is>
      </c>
      <c r="C89" s="16" t="inlineStr">
        <is>
          <t>structural</t>
        </is>
      </c>
      <c r="D89" s="16" t="inlineStr">
        <is>
          <t>The Buffered AXI-Lite UART shall reset STATUS to 0x00000300 reflecting TX_EMPTY=1 and RX_EMPTY=1 at power-on with all error flags deasserted.</t>
        </is>
      </c>
      <c r="E89" s="16" t="inlineStr">
        <is>
          <t>BALU-RS-001</t>
        </is>
      </c>
      <c r="F89" s="16" t="inlineStr">
        <is>
          <t>§8.3</t>
        </is>
      </c>
      <c r="G89" s="16" t="inlineStr">
        <is>
          <t>test</t>
        </is>
      </c>
      <c r="H89" s="16" t="inlineStr">
        <is>
          <t>COV-015</t>
        </is>
      </c>
      <c r="I89" s="16" t="inlineStr">
        <is>
          <t>Assert then deassert reset; read all 12 registers and compare each field to the reset value specified in Table 8-x.</t>
        </is>
      </c>
      <c r="J89" s="16" t="inlineStr"/>
      <c r="K89" s="16" t="inlineStr">
        <is>
          <t>GENERATED</t>
        </is>
      </c>
      <c r="L89" s="16" t="inlineStr"/>
      <c r="M89" s="16" t="inlineStr"/>
      <c r="N89" s="16" t="inlineStr">
        <is>
          <t>Structural</t>
        </is>
      </c>
      <c r="O89" s="16" t="inlineStr">
        <is>
          <t>ALL</t>
        </is>
      </c>
      <c r="P89" s="16" t="inlineStr"/>
      <c r="Q89" s="16" t="inlineStr">
        <is>
          <t>vhdl/buffered_axi_lite_uart.vhd</t>
        </is>
      </c>
      <c r="R89" s="16" t="inlineStr">
        <is>
          <t>RTL</t>
        </is>
      </c>
      <c r="S89" s="16" t="inlineStr">
        <is>
          <t>NOT_RUN</t>
        </is>
      </c>
      <c r="T89" s="16" t="inlineStr"/>
      <c r="U89" s="16" t="inlineStr"/>
      <c r="V89" s="16" t="inlineStr"/>
      <c r="W89" s="16" t="inlineStr">
        <is>
          <t>NOT_RUN</t>
        </is>
      </c>
      <c r="X89" s="16" t="inlineStr"/>
      <c r="AA89" s="16" t="inlineStr"/>
      <c r="AB89" s="17">
        <f>IF(K89="WAIVED","WAIVED",IF(H89="","OPEN",IF(S89="BLOCKED","BLOCKED",IF(S89="FAIL","FAILING",IF(S89="PASS",IF(AA89&lt;&gt;"","AT_RISK",IF(AC89&lt;&gt;"","CLOSED","PASSING")),"COVERED")))))</f>
        <v/>
      </c>
      <c r="AC89" s="16" t="inlineStr"/>
      <c r="AD89" s="16" t="inlineStr"/>
      <c r="AE89" s="16" t="inlineStr"/>
      <c r="AF89" s="16" t="inlineStr">
        <is>
          <t>1.0.0</t>
        </is>
      </c>
      <c r="AG89" s="16" t="inlineStr">
        <is>
          <t>ZUBoard 1CG / Basys 3</t>
        </is>
      </c>
      <c r="AH89" s="16" t="inlineStr">
        <is>
          <t>BALU-RS-001 Rev 0.4</t>
        </is>
      </c>
    </row>
    <row r="90">
      <c r="A90" s="16" t="inlineStr">
        <is>
          <t>UART-REG-014</t>
        </is>
      </c>
      <c r="B90" s="16" t="inlineStr">
        <is>
          <t>REG</t>
        </is>
      </c>
      <c r="C90" s="16" t="inlineStr">
        <is>
          <t>structural</t>
        </is>
      </c>
      <c r="D90" s="16" t="inlineStr">
        <is>
          <t>The Buffered AXI-Lite UART shall assign STATUS[11] as TIMEOUT_FLAG per UART-TO-005.</t>
        </is>
      </c>
      <c r="E90" s="16" t="inlineStr">
        <is>
          <t>BALU-RS-001</t>
        </is>
      </c>
      <c r="F90" s="16" t="inlineStr">
        <is>
          <t>§8.3</t>
        </is>
      </c>
      <c r="G90" s="16" t="inlineStr">
        <is>
          <t>test</t>
        </is>
      </c>
      <c r="H90" s="16" t="inlineStr">
        <is>
          <t>COV-009</t>
        </is>
      </c>
      <c r="I90" s="16" t="inlineStr">
        <is>
          <t>Set TIMEOUT_VAL non-zero, fill RX FIFO above RX_THRESH, then idle until timeout fires; verify both INT_STATUS.TIMEOUT and INT_STATUS.RX_THRESH set simultaneously.</t>
        </is>
      </c>
      <c r="J90" s="16" t="inlineStr"/>
      <c r="K90" s="16" t="inlineStr">
        <is>
          <t>GENERATED</t>
        </is>
      </c>
      <c r="L90" s="16" t="inlineStr"/>
      <c r="M90" s="16" t="inlineStr"/>
      <c r="N90" s="16" t="inlineStr">
        <is>
          <t>Structural</t>
        </is>
      </c>
      <c r="O90" s="16" t="inlineStr">
        <is>
          <t>ALL</t>
        </is>
      </c>
      <c r="P90" s="16" t="inlineStr"/>
      <c r="Q90" s="16" t="inlineStr">
        <is>
          <t>vhdl/buffered_axi_lite_uart.vhd</t>
        </is>
      </c>
      <c r="R90" s="16" t="inlineStr">
        <is>
          <t>RTL</t>
        </is>
      </c>
      <c r="S90" s="16" t="inlineStr">
        <is>
          <t>NOT_RUN</t>
        </is>
      </c>
      <c r="T90" s="16" t="inlineStr"/>
      <c r="U90" s="16" t="inlineStr"/>
      <c r="V90" s="16" t="inlineStr"/>
      <c r="W90" s="16" t="inlineStr">
        <is>
          <t>NOT_RUN</t>
        </is>
      </c>
      <c r="X90" s="16" t="inlineStr"/>
      <c r="AA90" s="16" t="inlineStr"/>
      <c r="AB90" s="17">
        <f>IF(K90="WAIVED","WAIVED",IF(H90="","OPEN",IF(S90="BLOCKED","BLOCKED",IF(S90="FAIL","FAILING",IF(S90="PASS",IF(AA90&lt;&gt;"","AT_RISK",IF(AC90&lt;&gt;"","CLOSED","PASSING")),"COVERED")))))</f>
        <v/>
      </c>
      <c r="AC90" s="16" t="inlineStr"/>
      <c r="AD90" s="16" t="inlineStr"/>
      <c r="AE90" s="16" t="inlineStr"/>
      <c r="AF90" s="16" t="inlineStr">
        <is>
          <t>1.0.0</t>
        </is>
      </c>
      <c r="AG90" s="16" t="inlineStr">
        <is>
          <t>ZUBoard 1CG / Basys 3</t>
        </is>
      </c>
      <c r="AH90" s="16" t="inlineStr">
        <is>
          <t>BALU-RS-001 Rev 0.4</t>
        </is>
      </c>
    </row>
    <row r="91">
      <c r="A91" s="16" t="inlineStr">
        <is>
          <t>UART-REG-015</t>
        </is>
      </c>
      <c r="B91" s="16" t="inlineStr">
        <is>
          <t>REG</t>
        </is>
      </c>
      <c r="C91" s="16" t="inlineStr">
        <is>
          <t>structural</t>
        </is>
      </c>
      <c r="D91" s="16" t="inlineStr">
        <is>
          <t>The Buffered AXI-Lite UART shall assign STATUS[10] as INT_PENDING, reflecting the current state of the IRQ output.</t>
        </is>
      </c>
      <c r="E91" s="16" t="inlineStr">
        <is>
          <t>BALU-RS-001</t>
        </is>
      </c>
      <c r="F91" s="16" t="inlineStr">
        <is>
          <t>§8.3</t>
        </is>
      </c>
      <c r="G91" s="16" t="inlineStr">
        <is>
          <t>test</t>
        </is>
      </c>
      <c r="H91" s="16" t="inlineStr">
        <is>
          <t>COV-019</t>
        </is>
      </c>
      <c r="I91" s="16" t="inlineStr">
        <is>
          <t>Drive TX_THRESH and RX_THRESH interrupt conditions, inject FRAME_ERR via stop-bit corruption, enable TIMEOUT interrupt; verify each INT_STATUS bit controlled by INT_ENABLE gate.</t>
        </is>
      </c>
      <c r="J91" s="16" t="inlineStr"/>
      <c r="K91" s="16" t="inlineStr">
        <is>
          <t>GENERATED</t>
        </is>
      </c>
      <c r="L91" s="16" t="inlineStr"/>
      <c r="M91" s="16" t="inlineStr"/>
      <c r="N91" s="16" t="inlineStr">
        <is>
          <t>Structural</t>
        </is>
      </c>
      <c r="O91" s="16" t="inlineStr">
        <is>
          <t>ALL</t>
        </is>
      </c>
      <c r="P91" s="16" t="inlineStr"/>
      <c r="Q91" s="16" t="inlineStr">
        <is>
          <t>vhdl/buffered_axi_lite_uart.vhd</t>
        </is>
      </c>
      <c r="R91" s="16" t="inlineStr">
        <is>
          <t>RTL</t>
        </is>
      </c>
      <c r="S91" s="16" t="inlineStr">
        <is>
          <t>NOT_RUN</t>
        </is>
      </c>
      <c r="T91" s="16" t="inlineStr"/>
      <c r="U91" s="16" t="inlineStr"/>
      <c r="V91" s="16" t="inlineStr"/>
      <c r="W91" s="16" t="inlineStr">
        <is>
          <t>NOT_RUN</t>
        </is>
      </c>
      <c r="X91" s="16" t="inlineStr"/>
      <c r="AA91" s="16" t="inlineStr"/>
      <c r="AB91" s="17">
        <f>IF(K91="WAIVED","WAIVED",IF(H91="","OPEN",IF(S91="BLOCKED","BLOCKED",IF(S91="FAIL","FAILING",IF(S91="PASS",IF(AA91&lt;&gt;"","AT_RISK",IF(AC91&lt;&gt;"","CLOSED","PASSING")),"COVERED")))))</f>
        <v/>
      </c>
      <c r="AC91" s="16" t="inlineStr"/>
      <c r="AD91" s="16" t="inlineStr"/>
      <c r="AE91" s="16" t="inlineStr"/>
      <c r="AF91" s="16" t="inlineStr">
        <is>
          <t>1.0.0</t>
        </is>
      </c>
      <c r="AG91" s="16" t="inlineStr">
        <is>
          <t>ZUBoard 1CG / Basys 3</t>
        </is>
      </c>
      <c r="AH91" s="16" t="inlineStr">
        <is>
          <t>BALU-RS-001 Rev 0.4</t>
        </is>
      </c>
    </row>
    <row r="92">
      <c r="A92" s="16" t="inlineStr">
        <is>
          <t>UART-REG-016</t>
        </is>
      </c>
      <c r="B92" s="16" t="inlineStr">
        <is>
          <t>REG</t>
        </is>
      </c>
      <c r="C92" s="16" t="inlineStr">
        <is>
          <t>structural</t>
        </is>
      </c>
      <c r="D92" s="16" t="inlineStr">
        <is>
          <t>The Buffered AXI-Lite UART shall assign STATUS[9] as TX_FULL per UART-FIFO-002.</t>
        </is>
      </c>
      <c r="E92" s="16" t="inlineStr">
        <is>
          <t>BALU-RS-001</t>
        </is>
      </c>
      <c r="F92" s="16" t="inlineStr">
        <is>
          <t>§8.3</t>
        </is>
      </c>
      <c r="G92" s="16" t="inlineStr">
        <is>
          <t>test</t>
        </is>
      </c>
      <c r="H92" s="16" t="inlineStr">
        <is>
          <t>COV-005</t>
        </is>
      </c>
      <c r="I92" s="16" t="inlineStr">
        <is>
          <t>TX FIFO occupancy driven to 0, TX_THRESH-1, TX_THRESH, TX_THRESH+1, and G_FIFO_DEPTH to verify status flags and write-ignore behavior.</t>
        </is>
      </c>
      <c r="J92" s="16" t="inlineStr"/>
      <c r="K92" s="16" t="inlineStr">
        <is>
          <t>GENERATED</t>
        </is>
      </c>
      <c r="L92" s="16" t="inlineStr"/>
      <c r="M92" s="16" t="inlineStr"/>
      <c r="N92" s="16" t="inlineStr">
        <is>
          <t>Structural</t>
        </is>
      </c>
      <c r="O92" s="16" t="inlineStr">
        <is>
          <t>ALL</t>
        </is>
      </c>
      <c r="P92" s="16" t="inlineStr"/>
      <c r="Q92" s="16" t="inlineStr">
        <is>
          <t>vhdl/buffered_axi_lite_uart.vhd</t>
        </is>
      </c>
      <c r="R92" s="16" t="inlineStr">
        <is>
          <t>RTL</t>
        </is>
      </c>
      <c r="S92" s="16" t="inlineStr">
        <is>
          <t>NOT_RUN</t>
        </is>
      </c>
      <c r="T92" s="16" t="inlineStr"/>
      <c r="U92" s="16" t="inlineStr"/>
      <c r="V92" s="16" t="inlineStr"/>
      <c r="W92" s="16" t="inlineStr">
        <is>
          <t>NOT_RUN</t>
        </is>
      </c>
      <c r="X92" s="16" t="inlineStr"/>
      <c r="AA92" s="16" t="inlineStr"/>
      <c r="AB92" s="17">
        <f>IF(K92="WAIVED","WAIVED",IF(H92="","OPEN",IF(S92="BLOCKED","BLOCKED",IF(S92="FAIL","FAILING",IF(S92="PASS",IF(AA92&lt;&gt;"","AT_RISK",IF(AC92&lt;&gt;"","CLOSED","PASSING")),"COVERED")))))</f>
        <v/>
      </c>
      <c r="AC92" s="16" t="inlineStr"/>
      <c r="AD92" s="16" t="inlineStr"/>
      <c r="AE92" s="16" t="inlineStr"/>
      <c r="AF92" s="16" t="inlineStr">
        <is>
          <t>1.0.0</t>
        </is>
      </c>
      <c r="AG92" s="16" t="inlineStr">
        <is>
          <t>ZUBoard 1CG / Basys 3</t>
        </is>
      </c>
      <c r="AH92" s="16" t="inlineStr">
        <is>
          <t>BALU-RS-001 Rev 0.4</t>
        </is>
      </c>
    </row>
    <row r="93">
      <c r="A93" s="16" t="inlineStr">
        <is>
          <t>UART-REG-017</t>
        </is>
      </c>
      <c r="B93" s="16" t="inlineStr">
        <is>
          <t>REG</t>
        </is>
      </c>
      <c r="C93" s="16" t="inlineStr">
        <is>
          <t>structural</t>
        </is>
      </c>
      <c r="D93" s="16" t="inlineStr">
        <is>
          <t>The Buffered AXI-Lite UART shall assign STATUS[8] as TX_EMPTY per UART-FIFO-003.</t>
        </is>
      </c>
      <c r="E93" s="16" t="inlineStr">
        <is>
          <t>BALU-RS-001</t>
        </is>
      </c>
      <c r="F93" s="16" t="inlineStr">
        <is>
          <t>§8.3</t>
        </is>
      </c>
      <c r="G93" s="16" t="inlineStr">
        <is>
          <t>test</t>
        </is>
      </c>
      <c r="H93" s="16" t="inlineStr">
        <is>
          <t>COV-005</t>
        </is>
      </c>
      <c r="I93" s="16" t="inlineStr">
        <is>
          <t>TX FIFO occupancy driven to 0, TX_THRESH-1, TX_THRESH, TX_THRESH+1, and G_FIFO_DEPTH to verify status flags and write-ignore behavior.</t>
        </is>
      </c>
      <c r="J93" s="16" t="inlineStr"/>
      <c r="K93" s="16" t="inlineStr">
        <is>
          <t>GENERATED</t>
        </is>
      </c>
      <c r="L93" s="16" t="inlineStr"/>
      <c r="M93" s="16" t="inlineStr"/>
      <c r="N93" s="16" t="inlineStr">
        <is>
          <t>Structural</t>
        </is>
      </c>
      <c r="O93" s="16" t="inlineStr">
        <is>
          <t>ALL</t>
        </is>
      </c>
      <c r="P93" s="16" t="inlineStr"/>
      <c r="Q93" s="16" t="inlineStr">
        <is>
          <t>vhdl/buffered_axi_lite_uart.vhd</t>
        </is>
      </c>
      <c r="R93" s="16" t="inlineStr">
        <is>
          <t>RTL</t>
        </is>
      </c>
      <c r="S93" s="16" t="inlineStr">
        <is>
          <t>NOT_RUN</t>
        </is>
      </c>
      <c r="T93" s="16" t="inlineStr"/>
      <c r="U93" s="16" t="inlineStr"/>
      <c r="V93" s="16" t="inlineStr"/>
      <c r="W93" s="16" t="inlineStr">
        <is>
          <t>NOT_RUN</t>
        </is>
      </c>
      <c r="X93" s="16" t="inlineStr"/>
      <c r="AA93" s="16" t="inlineStr"/>
      <c r="AB93" s="17">
        <f>IF(K93="WAIVED","WAIVED",IF(H93="","OPEN",IF(S93="BLOCKED","BLOCKED",IF(S93="FAIL","FAILING",IF(S93="PASS",IF(AA93&lt;&gt;"","AT_RISK",IF(AC93&lt;&gt;"","CLOSED","PASSING")),"COVERED")))))</f>
        <v/>
      </c>
      <c r="AC93" s="16" t="inlineStr"/>
      <c r="AD93" s="16" t="inlineStr"/>
      <c r="AE93" s="16" t="inlineStr"/>
      <c r="AF93" s="16" t="inlineStr">
        <is>
          <t>1.0.0</t>
        </is>
      </c>
      <c r="AG93" s="16" t="inlineStr">
        <is>
          <t>ZUBoard 1CG / Basys 3</t>
        </is>
      </c>
      <c r="AH93" s="16" t="inlineStr">
        <is>
          <t>BALU-RS-001 Rev 0.4</t>
        </is>
      </c>
    </row>
    <row r="94">
      <c r="A94" s="16" t="inlineStr">
        <is>
          <t>UART-REG-018</t>
        </is>
      </c>
      <c r="B94" s="16" t="inlineStr">
        <is>
          <t>REG</t>
        </is>
      </c>
      <c r="C94" s="16" t="inlineStr">
        <is>
          <t>structural</t>
        </is>
      </c>
      <c r="D94" s="16" t="inlineStr">
        <is>
          <t>The Buffered AXI-Lite UART shall assign STATUS[7] as RX_FULL per UART-FIFO-004.</t>
        </is>
      </c>
      <c r="E94" s="16" t="inlineStr">
        <is>
          <t>BALU-RS-001</t>
        </is>
      </c>
      <c r="F94" s="16" t="inlineStr">
        <is>
          <t>§8.3</t>
        </is>
      </c>
      <c r="G94" s="16" t="inlineStr">
        <is>
          <t>test</t>
        </is>
      </c>
      <c r="H94" s="16" t="inlineStr">
        <is>
          <t>COV-008</t>
        </is>
      </c>
      <c r="I94" s="16" t="inlineStr">
        <is>
          <t>Fill RX FIFO to capacity then transmit additional byte to force overrun; verify overrun byte discarded and FIFO content unchanged.</t>
        </is>
      </c>
      <c r="J94" s="16" t="inlineStr"/>
      <c r="K94" s="16" t="inlineStr">
        <is>
          <t>GENERATED</t>
        </is>
      </c>
      <c r="L94" s="16" t="inlineStr"/>
      <c r="M94" s="16" t="inlineStr"/>
      <c r="N94" s="16" t="inlineStr">
        <is>
          <t>Structural</t>
        </is>
      </c>
      <c r="O94" s="16" t="inlineStr">
        <is>
          <t>ALL</t>
        </is>
      </c>
      <c r="P94" s="16" t="inlineStr"/>
      <c r="Q94" s="16" t="inlineStr">
        <is>
          <t>vhdl/buffered_axi_lite_uart.vhd</t>
        </is>
      </c>
      <c r="R94" s="16" t="inlineStr">
        <is>
          <t>RTL</t>
        </is>
      </c>
      <c r="S94" s="16" t="inlineStr">
        <is>
          <t>NOT_RUN</t>
        </is>
      </c>
      <c r="T94" s="16" t="inlineStr"/>
      <c r="U94" s="16" t="inlineStr"/>
      <c r="V94" s="16" t="inlineStr"/>
      <c r="W94" s="16" t="inlineStr">
        <is>
          <t>NOT_RUN</t>
        </is>
      </c>
      <c r="X94" s="16" t="inlineStr"/>
      <c r="AA94" s="16" t="inlineStr"/>
      <c r="AB94" s="17">
        <f>IF(K94="WAIVED","WAIVED",IF(H94="","OPEN",IF(S94="BLOCKED","BLOCKED",IF(S94="FAIL","FAILING",IF(S94="PASS",IF(AA94&lt;&gt;"","AT_RISK",IF(AC94&lt;&gt;"","CLOSED","PASSING")),"COVERED")))))</f>
        <v/>
      </c>
      <c r="AC94" s="16" t="inlineStr"/>
      <c r="AD94" s="16" t="inlineStr"/>
      <c r="AE94" s="16" t="inlineStr"/>
      <c r="AF94" s="16" t="inlineStr">
        <is>
          <t>1.0.0</t>
        </is>
      </c>
      <c r="AG94" s="16" t="inlineStr">
        <is>
          <t>ZUBoard 1CG / Basys 3</t>
        </is>
      </c>
      <c r="AH94" s="16" t="inlineStr">
        <is>
          <t>BALU-RS-001 Rev 0.4</t>
        </is>
      </c>
    </row>
    <row r="95">
      <c r="A95" s="16" t="inlineStr">
        <is>
          <t>UART-REG-019</t>
        </is>
      </c>
      <c r="B95" s="16" t="inlineStr">
        <is>
          <t>REG</t>
        </is>
      </c>
      <c r="C95" s="16" t="inlineStr">
        <is>
          <t>structural</t>
        </is>
      </c>
      <c r="D95" s="16" t="inlineStr">
        <is>
          <t>The Buffered AXI-Lite UART shall assign STATUS[6] as RX_EMPTY per UART-FIFO-005.</t>
        </is>
      </c>
      <c r="E95" s="16" t="inlineStr">
        <is>
          <t>BALU-RS-001</t>
        </is>
      </c>
      <c r="F95" s="16" t="inlineStr">
        <is>
          <t>§8.3</t>
        </is>
      </c>
      <c r="G95" s="16" t="inlineStr">
        <is>
          <t>test</t>
        </is>
      </c>
      <c r="H95" s="16" t="inlineStr">
        <is>
          <t>COV-004</t>
        </is>
      </c>
      <c r="I95" s="16" t="inlineStr">
        <is>
          <t>RX FIFO occupancy driven to 0, RX_THRESH-1, RX_THRESH, RX_THRESH+1, and G_FIFO_DEPTH to verify status flags and overrun discard.</t>
        </is>
      </c>
      <c r="J95" s="16" t="inlineStr"/>
      <c r="K95" s="16" t="inlineStr">
        <is>
          <t>GENERATED</t>
        </is>
      </c>
      <c r="L95" s="16" t="inlineStr"/>
      <c r="M95" s="16" t="inlineStr"/>
      <c r="N95" s="16" t="inlineStr">
        <is>
          <t>Structural</t>
        </is>
      </c>
      <c r="O95" s="16" t="inlineStr">
        <is>
          <t>ALL</t>
        </is>
      </c>
      <c r="P95" s="16" t="inlineStr"/>
      <c r="Q95" s="16" t="inlineStr">
        <is>
          <t>vhdl/buffered_axi_lite_uart.vhd</t>
        </is>
      </c>
      <c r="R95" s="16" t="inlineStr">
        <is>
          <t>RTL</t>
        </is>
      </c>
      <c r="S95" s="16" t="inlineStr">
        <is>
          <t>NOT_RUN</t>
        </is>
      </c>
      <c r="T95" s="16" t="inlineStr"/>
      <c r="U95" s="16" t="inlineStr"/>
      <c r="V95" s="16" t="inlineStr"/>
      <c r="W95" s="16" t="inlineStr">
        <is>
          <t>NOT_RUN</t>
        </is>
      </c>
      <c r="X95" s="16" t="inlineStr"/>
      <c r="AA95" s="16" t="inlineStr"/>
      <c r="AB95" s="17">
        <f>IF(K95="WAIVED","WAIVED",IF(H95="","OPEN",IF(S95="BLOCKED","BLOCKED",IF(S95="FAIL","FAILING",IF(S95="PASS",IF(AA95&lt;&gt;"","AT_RISK",IF(AC95&lt;&gt;"","CLOSED","PASSING")),"COVERED")))))</f>
        <v/>
      </c>
      <c r="AC95" s="16" t="inlineStr"/>
      <c r="AD95" s="16" t="inlineStr"/>
      <c r="AE95" s="16" t="inlineStr"/>
      <c r="AF95" s="16" t="inlineStr">
        <is>
          <t>1.0.0</t>
        </is>
      </c>
      <c r="AG95" s="16" t="inlineStr">
        <is>
          <t>ZUBoard 1CG / Basys 3</t>
        </is>
      </c>
      <c r="AH95" s="16" t="inlineStr">
        <is>
          <t>BALU-RS-001 Rev 0.4</t>
        </is>
      </c>
    </row>
    <row r="96">
      <c r="A96" s="16" t="inlineStr">
        <is>
          <t>UART-REG-020</t>
        </is>
      </c>
      <c r="B96" s="16" t="inlineStr">
        <is>
          <t>REG</t>
        </is>
      </c>
      <c r="C96" s="16" t="inlineStr">
        <is>
          <t>structural</t>
        </is>
      </c>
      <c r="D96" s="16" t="inlineStr">
        <is>
          <t>The Buffered AXI-Lite UART shall assign STATUS[5] as TX_BUSY, asserted while the transmit shift register is actively shifting a frame.</t>
        </is>
      </c>
      <c r="E96" s="16" t="inlineStr">
        <is>
          <t>BALU-RS-001</t>
        </is>
      </c>
      <c r="F96" s="16" t="inlineStr">
        <is>
          <t>§8.3</t>
        </is>
      </c>
      <c r="G96" s="16" t="inlineStr">
        <is>
          <t>test</t>
        </is>
      </c>
      <c r="H96" s="16" t="inlineStr">
        <is>
          <t>COV-019</t>
        </is>
      </c>
      <c r="I96" s="16" t="inlineStr">
        <is>
          <t>Drive TX_THRESH and RX_THRESH interrupt conditions, inject FRAME_ERR via stop-bit corruption, enable TIMEOUT interrupt; verify each INT_STATUS bit controlled by INT_ENABLE gate.</t>
        </is>
      </c>
      <c r="J96" s="16" t="inlineStr"/>
      <c r="K96" s="16" t="inlineStr">
        <is>
          <t>GENERATED</t>
        </is>
      </c>
      <c r="L96" s="16" t="inlineStr"/>
      <c r="M96" s="16" t="inlineStr"/>
      <c r="N96" s="16" t="inlineStr">
        <is>
          <t>Structural</t>
        </is>
      </c>
      <c r="O96" s="16" t="inlineStr">
        <is>
          <t>ALL</t>
        </is>
      </c>
      <c r="P96" s="16" t="inlineStr"/>
      <c r="Q96" s="16" t="inlineStr">
        <is>
          <t>vhdl/buffered_axi_lite_uart.vhd</t>
        </is>
      </c>
      <c r="R96" s="16" t="inlineStr">
        <is>
          <t>RTL</t>
        </is>
      </c>
      <c r="S96" s="16" t="inlineStr">
        <is>
          <t>NOT_RUN</t>
        </is>
      </c>
      <c r="T96" s="16" t="inlineStr"/>
      <c r="U96" s="16" t="inlineStr"/>
      <c r="V96" s="16" t="inlineStr"/>
      <c r="W96" s="16" t="inlineStr">
        <is>
          <t>NOT_RUN</t>
        </is>
      </c>
      <c r="X96" s="16" t="inlineStr"/>
      <c r="AA96" s="16" t="inlineStr"/>
      <c r="AB96" s="17">
        <f>IF(K96="WAIVED","WAIVED",IF(H96="","OPEN",IF(S96="BLOCKED","BLOCKED",IF(S96="FAIL","FAILING",IF(S96="PASS",IF(AA96&lt;&gt;"","AT_RISK",IF(AC96&lt;&gt;"","CLOSED","PASSING")),"COVERED")))))</f>
        <v/>
      </c>
      <c r="AC96" s="16" t="inlineStr"/>
      <c r="AD96" s="16" t="inlineStr"/>
      <c r="AE96" s="16" t="inlineStr"/>
      <c r="AF96" s="16" t="inlineStr">
        <is>
          <t>1.0.0</t>
        </is>
      </c>
      <c r="AG96" s="16" t="inlineStr">
        <is>
          <t>ZUBoard 1CG / Basys 3</t>
        </is>
      </c>
      <c r="AH96" s="16" t="inlineStr">
        <is>
          <t>BALU-RS-001 Rev 0.4</t>
        </is>
      </c>
    </row>
    <row r="97">
      <c r="A97" s="16" t="inlineStr">
        <is>
          <t>UART-REG-021</t>
        </is>
      </c>
      <c r="B97" s="16" t="inlineStr">
        <is>
          <t>REG</t>
        </is>
      </c>
      <c r="C97" s="16" t="inlineStr">
        <is>
          <t>structural</t>
        </is>
      </c>
      <c r="D97" s="16" t="inlineStr">
        <is>
          <t>The Buffered AXI-Lite UART shall assign STATUS[4] as RX_BUSY, asserted while the receive shift register is actively receiving a frame.</t>
        </is>
      </c>
      <c r="E97" s="16" t="inlineStr">
        <is>
          <t>BALU-RS-001</t>
        </is>
      </c>
      <c r="F97" s="16" t="inlineStr">
        <is>
          <t>§8.3</t>
        </is>
      </c>
      <c r="G97" s="16" t="inlineStr">
        <is>
          <t>test</t>
        </is>
      </c>
      <c r="H97" s="16" t="inlineStr">
        <is>
          <t>COV-019</t>
        </is>
      </c>
      <c r="I97" s="16" t="inlineStr">
        <is>
          <t>Drive TX_THRESH and RX_THRESH interrupt conditions, inject FRAME_ERR via stop-bit corruption, enable TIMEOUT interrupt; verify each INT_STATUS bit controlled by INT_ENABLE gate.</t>
        </is>
      </c>
      <c r="J97" s="16" t="inlineStr"/>
      <c r="K97" s="16" t="inlineStr">
        <is>
          <t>GENERATED</t>
        </is>
      </c>
      <c r="L97" s="16" t="inlineStr"/>
      <c r="M97" s="16" t="inlineStr"/>
      <c r="N97" s="16" t="inlineStr">
        <is>
          <t>Structural</t>
        </is>
      </c>
      <c r="O97" s="16" t="inlineStr">
        <is>
          <t>ALL</t>
        </is>
      </c>
      <c r="P97" s="16" t="inlineStr"/>
      <c r="Q97" s="16" t="inlineStr">
        <is>
          <t>vhdl/buffered_axi_lite_uart.vhd</t>
        </is>
      </c>
      <c r="R97" s="16" t="inlineStr">
        <is>
          <t>RTL</t>
        </is>
      </c>
      <c r="S97" s="16" t="inlineStr">
        <is>
          <t>NOT_RUN</t>
        </is>
      </c>
      <c r="T97" s="16" t="inlineStr"/>
      <c r="U97" s="16" t="inlineStr"/>
      <c r="V97" s="16" t="inlineStr"/>
      <c r="W97" s="16" t="inlineStr">
        <is>
          <t>NOT_RUN</t>
        </is>
      </c>
      <c r="X97" s="16" t="inlineStr"/>
      <c r="AA97" s="16" t="inlineStr"/>
      <c r="AB97" s="17">
        <f>IF(K97="WAIVED","WAIVED",IF(H97="","OPEN",IF(S97="BLOCKED","BLOCKED",IF(S97="FAIL","FAILING",IF(S97="PASS",IF(AA97&lt;&gt;"","AT_RISK",IF(AC97&lt;&gt;"","CLOSED","PASSING")),"COVERED")))))</f>
        <v/>
      </c>
      <c r="AC97" s="16" t="inlineStr"/>
      <c r="AD97" s="16" t="inlineStr"/>
      <c r="AE97" s="16" t="inlineStr"/>
      <c r="AF97" s="16" t="inlineStr">
        <is>
          <t>1.0.0</t>
        </is>
      </c>
      <c r="AG97" s="16" t="inlineStr">
        <is>
          <t>ZUBoard 1CG / Basys 3</t>
        </is>
      </c>
      <c r="AH97" s="16" t="inlineStr">
        <is>
          <t>BALU-RS-001 Rev 0.4</t>
        </is>
      </c>
    </row>
    <row r="98">
      <c r="A98" s="16" t="inlineStr">
        <is>
          <t>UART-REG-022</t>
        </is>
      </c>
      <c r="B98" s="16" t="inlineStr">
        <is>
          <t>REG</t>
        </is>
      </c>
      <c r="C98" s="16" t="inlineStr">
        <is>
          <t>structural</t>
        </is>
      </c>
      <c r="D98" s="16" t="inlineStr">
        <is>
          <t>The Buffered AXI-Lite UART shall assign STATUS[3] as PARITY_ERR per UART-FF-009.</t>
        </is>
      </c>
      <c r="E98" s="16" t="inlineStr">
        <is>
          <t>BALU-RS-001</t>
        </is>
      </c>
      <c r="F98" s="16" t="inlineStr">
        <is>
          <t>§8.3</t>
        </is>
      </c>
      <c r="G98" s="16" t="inlineStr">
        <is>
          <t>test</t>
        </is>
      </c>
      <c r="H98" s="16" t="inlineStr">
        <is>
          <t>COV-019</t>
        </is>
      </c>
      <c r="I98" s="16" t="inlineStr">
        <is>
          <t>Drive TX_THRESH and RX_THRESH interrupt conditions, inject FRAME_ERR via stop-bit corruption, enable TIMEOUT interrupt; verify each INT_STATUS bit controlled by INT_ENABLE gate.</t>
        </is>
      </c>
      <c r="J98" s="16" t="inlineStr"/>
      <c r="K98" s="16" t="inlineStr">
        <is>
          <t>GENERATED</t>
        </is>
      </c>
      <c r="L98" s="16" t="inlineStr"/>
      <c r="M98" s="16" t="inlineStr"/>
      <c r="N98" s="16" t="inlineStr">
        <is>
          <t>Structural</t>
        </is>
      </c>
      <c r="O98" s="16" t="inlineStr">
        <is>
          <t>ALL</t>
        </is>
      </c>
      <c r="P98" s="16" t="inlineStr"/>
      <c r="Q98" s="16" t="inlineStr">
        <is>
          <t>vhdl/buffered_axi_lite_uart.vhd</t>
        </is>
      </c>
      <c r="R98" s="16" t="inlineStr">
        <is>
          <t>RTL</t>
        </is>
      </c>
      <c r="S98" s="16" t="inlineStr">
        <is>
          <t>NOT_RUN</t>
        </is>
      </c>
      <c r="T98" s="16" t="inlineStr"/>
      <c r="U98" s="16" t="inlineStr"/>
      <c r="V98" s="16" t="inlineStr"/>
      <c r="W98" s="16" t="inlineStr">
        <is>
          <t>NOT_RUN</t>
        </is>
      </c>
      <c r="X98" s="16" t="inlineStr"/>
      <c r="AA98" s="16" t="inlineStr"/>
      <c r="AB98" s="17">
        <f>IF(K98="WAIVED","WAIVED",IF(H98="","OPEN",IF(S98="BLOCKED","BLOCKED",IF(S98="FAIL","FAILING",IF(S98="PASS",IF(AA98&lt;&gt;"","AT_RISK",IF(AC98&lt;&gt;"","CLOSED","PASSING")),"COVERED")))))</f>
        <v/>
      </c>
      <c r="AC98" s="16" t="inlineStr"/>
      <c r="AD98" s="16" t="inlineStr"/>
      <c r="AE98" s="16" t="inlineStr"/>
      <c r="AF98" s="16" t="inlineStr">
        <is>
          <t>1.0.0</t>
        </is>
      </c>
      <c r="AG98" s="16" t="inlineStr">
        <is>
          <t>ZUBoard 1CG / Basys 3</t>
        </is>
      </c>
      <c r="AH98" s="16" t="inlineStr">
        <is>
          <t>BALU-RS-001 Rev 0.4</t>
        </is>
      </c>
    </row>
    <row r="99">
      <c r="A99" s="16" t="inlineStr">
        <is>
          <t>UART-REG-023</t>
        </is>
      </c>
      <c r="B99" s="16" t="inlineStr">
        <is>
          <t>REG</t>
        </is>
      </c>
      <c r="C99" s="16" t="inlineStr">
        <is>
          <t>structural</t>
        </is>
      </c>
      <c r="D99" s="16" t="inlineStr">
        <is>
          <t>The Buffered AXI-Lite UART shall assign STATUS[2] as FRAME_ERR, asserted when a framing error is detected per UART-INT-013.</t>
        </is>
      </c>
      <c r="E99" s="16" t="inlineStr">
        <is>
          <t>BALU-RS-001</t>
        </is>
      </c>
      <c r="F99" s="16" t="inlineStr">
        <is>
          <t>§8.3</t>
        </is>
      </c>
      <c r="G99" s="16" t="inlineStr">
        <is>
          <t>test</t>
        </is>
      </c>
      <c r="H99" s="16" t="inlineStr">
        <is>
          <t>COV-019</t>
        </is>
      </c>
      <c r="I99" s="16" t="inlineStr">
        <is>
          <t>Drive TX_THRESH and RX_THRESH interrupt conditions, inject FRAME_ERR via stop-bit corruption, enable TIMEOUT interrupt; verify each INT_STATUS bit controlled by INT_ENABLE gate.</t>
        </is>
      </c>
      <c r="J99" s="16" t="inlineStr"/>
      <c r="K99" s="16" t="inlineStr">
        <is>
          <t>GENERATED</t>
        </is>
      </c>
      <c r="L99" s="16" t="inlineStr"/>
      <c r="M99" s="16" t="inlineStr"/>
      <c r="N99" s="16" t="inlineStr">
        <is>
          <t>Structural</t>
        </is>
      </c>
      <c r="O99" s="16" t="inlineStr">
        <is>
          <t>ALL</t>
        </is>
      </c>
      <c r="P99" s="16" t="inlineStr"/>
      <c r="Q99" s="16" t="inlineStr">
        <is>
          <t>vhdl/buffered_axi_lite_uart.vhd</t>
        </is>
      </c>
      <c r="R99" s="16" t="inlineStr">
        <is>
          <t>RTL</t>
        </is>
      </c>
      <c r="S99" s="16" t="inlineStr">
        <is>
          <t>NOT_RUN</t>
        </is>
      </c>
      <c r="T99" s="16" t="inlineStr"/>
      <c r="U99" s="16" t="inlineStr"/>
      <c r="V99" s="16" t="inlineStr"/>
      <c r="W99" s="16" t="inlineStr">
        <is>
          <t>NOT_RUN</t>
        </is>
      </c>
      <c r="X99" s="16" t="inlineStr"/>
      <c r="AA99" s="16" t="inlineStr"/>
      <c r="AB99" s="17">
        <f>IF(K99="WAIVED","WAIVED",IF(H99="","OPEN",IF(S99="BLOCKED","BLOCKED",IF(S99="FAIL","FAILING",IF(S99="PASS",IF(AA99&lt;&gt;"","AT_RISK",IF(AC99&lt;&gt;"","CLOSED","PASSING")),"COVERED")))))</f>
        <v/>
      </c>
      <c r="AC99" s="16" t="inlineStr"/>
      <c r="AD99" s="16" t="inlineStr"/>
      <c r="AE99" s="16" t="inlineStr"/>
      <c r="AF99" s="16" t="inlineStr">
        <is>
          <t>1.0.0</t>
        </is>
      </c>
      <c r="AG99" s="16" t="inlineStr">
        <is>
          <t>ZUBoard 1CG / Basys 3</t>
        </is>
      </c>
      <c r="AH99" s="16" t="inlineStr">
        <is>
          <t>BALU-RS-001 Rev 0.4</t>
        </is>
      </c>
    </row>
    <row r="100">
      <c r="A100" s="16" t="inlineStr">
        <is>
          <t>UART-REG-024</t>
        </is>
      </c>
      <c r="B100" s="16" t="inlineStr">
        <is>
          <t>REG</t>
        </is>
      </c>
      <c r="C100" s="16" t="inlineStr">
        <is>
          <t>structural</t>
        </is>
      </c>
      <c r="D100" s="16" t="inlineStr">
        <is>
          <t>The Buffered AXI-Lite UART shall assign STATUS[1] as OVERRUN, asserted when an RX overrun occurs per UART-FIFO-007.</t>
        </is>
      </c>
      <c r="E100" s="16" t="inlineStr">
        <is>
          <t>BALU-RS-001</t>
        </is>
      </c>
      <c r="F100" s="16" t="inlineStr">
        <is>
          <t>§8.3</t>
        </is>
      </c>
      <c r="G100" s="16" t="inlineStr">
        <is>
          <t>test</t>
        </is>
      </c>
      <c r="H100" s="16" t="inlineStr">
        <is>
          <t>COV-008</t>
        </is>
      </c>
      <c r="I100" s="16" t="inlineStr">
        <is>
          <t>Fill RX FIFO to capacity then transmit additional byte to force overrun; verify overrun byte discarded and FIFO content unchanged.</t>
        </is>
      </c>
      <c r="J100" s="16" t="inlineStr"/>
      <c r="K100" s="16" t="inlineStr">
        <is>
          <t>GENERATED</t>
        </is>
      </c>
      <c r="L100" s="16" t="inlineStr"/>
      <c r="M100" s="16" t="inlineStr"/>
      <c r="N100" s="16" t="inlineStr">
        <is>
          <t>Structural</t>
        </is>
      </c>
      <c r="O100" s="16" t="inlineStr">
        <is>
          <t>ALL</t>
        </is>
      </c>
      <c r="P100" s="16" t="inlineStr"/>
      <c r="Q100" s="16" t="inlineStr">
        <is>
          <t>vhdl/buffered_axi_lite_uart.vhd</t>
        </is>
      </c>
      <c r="R100" s="16" t="inlineStr">
        <is>
          <t>RTL</t>
        </is>
      </c>
      <c r="S100" s="16" t="inlineStr">
        <is>
          <t>NOT_RUN</t>
        </is>
      </c>
      <c r="T100" s="16" t="inlineStr"/>
      <c r="U100" s="16" t="inlineStr"/>
      <c r="V100" s="16" t="inlineStr"/>
      <c r="W100" s="16" t="inlineStr">
        <is>
          <t>NOT_RUN</t>
        </is>
      </c>
      <c r="X100" s="16" t="inlineStr"/>
      <c r="AA100" s="16" t="inlineStr"/>
      <c r="AB100" s="17">
        <f>IF(K100="WAIVED","WAIVED",IF(H100="","OPEN",IF(S100="BLOCKED","BLOCKED",IF(S100="FAIL","FAILING",IF(S100="PASS",IF(AA100&lt;&gt;"","AT_RISK",IF(AC100&lt;&gt;"","CLOSED","PASSING")),"COVERED")))))</f>
        <v/>
      </c>
      <c r="AC100" s="16" t="inlineStr"/>
      <c r="AD100" s="16" t="inlineStr"/>
      <c r="AE100" s="16" t="inlineStr"/>
      <c r="AF100" s="16" t="inlineStr">
        <is>
          <t>1.0.0</t>
        </is>
      </c>
      <c r="AG100" s="16" t="inlineStr">
        <is>
          <t>ZUBoard 1CG / Basys 3</t>
        </is>
      </c>
      <c r="AH100" s="16" t="inlineStr">
        <is>
          <t>BALU-RS-001 Rev 0.4</t>
        </is>
      </c>
    </row>
    <row r="101">
      <c r="A101" s="16" t="inlineStr">
        <is>
          <t>UART-REG-025</t>
        </is>
      </c>
      <c r="B101" s="16" t="inlineStr">
        <is>
          <t>REG</t>
        </is>
      </c>
      <c r="C101" s="16" t="inlineStr">
        <is>
          <t>structural</t>
        </is>
      </c>
      <c r="D101" s="16" t="inlineStr">
        <is>
          <t>The Buffered AXI-Lite UART shall reserve STATUS[0] as read-only zero.</t>
        </is>
      </c>
      <c r="E101" s="16" t="inlineStr">
        <is>
          <t>BALU-RS-001</t>
        </is>
      </c>
      <c r="F101" s="16" t="inlineStr">
        <is>
          <t>§8.3</t>
        </is>
      </c>
      <c r="G101" s="16" t="inlineStr">
        <is>
          <t>test</t>
        </is>
      </c>
      <c r="H101" s="16" t="inlineStr">
        <is>
          <t>COV-018</t>
        </is>
      </c>
      <c r="I101" s="16" t="inlineStr">
        <is>
          <t>Write to each read-only register (STATUS, FIFO_STATUS, INT_STATUS, INT_CLEAR, TX_DATA reads, RX_DATA writes); read back and verify state unchanged.</t>
        </is>
      </c>
      <c r="J101" s="16" t="inlineStr"/>
      <c r="K101" s="16" t="inlineStr">
        <is>
          <t>GENERATED</t>
        </is>
      </c>
      <c r="L101" s="16" t="inlineStr"/>
      <c r="M101" s="16" t="inlineStr"/>
      <c r="N101" s="16" t="inlineStr">
        <is>
          <t>Structural</t>
        </is>
      </c>
      <c r="O101" s="16" t="inlineStr">
        <is>
          <t>ALL</t>
        </is>
      </c>
      <c r="P101" s="16" t="inlineStr"/>
      <c r="Q101" s="16" t="inlineStr">
        <is>
          <t>vhdl/buffered_axi_lite_uart.vhd</t>
        </is>
      </c>
      <c r="R101" s="16" t="inlineStr">
        <is>
          <t>RTL</t>
        </is>
      </c>
      <c r="S101" s="16" t="inlineStr">
        <is>
          <t>NOT_RUN</t>
        </is>
      </c>
      <c r="T101" s="16" t="inlineStr"/>
      <c r="U101" s="16" t="inlineStr"/>
      <c r="V101" s="16" t="inlineStr"/>
      <c r="W101" s="16" t="inlineStr">
        <is>
          <t>NOT_RUN</t>
        </is>
      </c>
      <c r="X101" s="16" t="inlineStr"/>
      <c r="AA101" s="16" t="inlineStr"/>
      <c r="AB101" s="17">
        <f>IF(K101="WAIVED","WAIVED",IF(H101="","OPEN",IF(S101="BLOCKED","BLOCKED",IF(S101="FAIL","FAILING",IF(S101="PASS",IF(AA101&lt;&gt;"","AT_RISK",IF(AC101&lt;&gt;"","CLOSED","PASSING")),"COVERED")))))</f>
        <v/>
      </c>
      <c r="AC101" s="16" t="inlineStr"/>
      <c r="AD101" s="16" t="inlineStr"/>
      <c r="AE101" s="16" t="inlineStr"/>
      <c r="AF101" s="16" t="inlineStr">
        <is>
          <t>1.0.0</t>
        </is>
      </c>
      <c r="AG101" s="16" t="inlineStr">
        <is>
          <t>ZUBoard 1CG / Basys 3</t>
        </is>
      </c>
      <c r="AH101" s="16" t="inlineStr">
        <is>
          <t>BALU-RS-001 Rev 0.4</t>
        </is>
      </c>
    </row>
    <row r="102">
      <c r="A102" s="16" t="inlineStr">
        <is>
          <t>UART-REG-026</t>
        </is>
      </c>
      <c r="B102" s="16" t="inlineStr">
        <is>
          <t>REG</t>
        </is>
      </c>
      <c r="C102" s="16" t="inlineStr">
        <is>
          <t>structural</t>
        </is>
      </c>
      <c r="D102" s="16" t="inlineStr">
        <is>
          <t>The Buffered AXI-Lite UART shall assign BAUD_TUNING[31:0] as the NCO tuning word per UART-BR-001 through UART-BR-006.</t>
        </is>
      </c>
      <c r="E102" s="16" t="inlineStr">
        <is>
          <t>BALU-RS-001</t>
        </is>
      </c>
      <c r="F102" s="16" t="inlineStr">
        <is>
          <t>§8.4</t>
        </is>
      </c>
      <c r="G102" s="16" t="inlineStr">
        <is>
          <t>test</t>
        </is>
      </c>
      <c r="H102" s="16" t="inlineStr">
        <is>
          <t>COV-001</t>
        </is>
      </c>
      <c r="I102" s="16" t="inlineStr">
        <is>
          <t>NCO tuning word sweep at 12 values from minimum (0x00000001) to maximum (0xFFFFFFFF) including all standard baud rates.</t>
        </is>
      </c>
      <c r="J102" s="16" t="inlineStr"/>
      <c r="K102" s="16" t="inlineStr">
        <is>
          <t>GENERATED</t>
        </is>
      </c>
      <c r="L102" s="16" t="inlineStr"/>
      <c r="M102" s="16" t="inlineStr"/>
      <c r="N102" s="16" t="inlineStr">
        <is>
          <t>Structural</t>
        </is>
      </c>
      <c r="O102" s="16" t="inlineStr">
        <is>
          <t>ALL</t>
        </is>
      </c>
      <c r="P102" s="16" t="inlineStr"/>
      <c r="Q102" s="16" t="inlineStr">
        <is>
          <t>vhdl/buffered_axi_lite_uart.vhd</t>
        </is>
      </c>
      <c r="R102" s="16" t="inlineStr">
        <is>
          <t>RTL</t>
        </is>
      </c>
      <c r="S102" s="16" t="inlineStr">
        <is>
          <t>NOT_RUN</t>
        </is>
      </c>
      <c r="T102" s="16" t="inlineStr"/>
      <c r="U102" s="16" t="inlineStr"/>
      <c r="V102" s="16" t="inlineStr"/>
      <c r="W102" s="16" t="inlineStr">
        <is>
          <t>NOT_RUN</t>
        </is>
      </c>
      <c r="X102" s="16" t="inlineStr"/>
      <c r="AA102" s="16" t="inlineStr"/>
      <c r="AB102" s="17">
        <f>IF(K102="WAIVED","WAIVED",IF(H102="","OPEN",IF(S102="BLOCKED","BLOCKED",IF(S102="FAIL","FAILING",IF(S102="PASS",IF(AA102&lt;&gt;"","AT_RISK",IF(AC102&lt;&gt;"","CLOSED","PASSING")),"COVERED")))))</f>
        <v/>
      </c>
      <c r="AC102" s="16" t="inlineStr"/>
      <c r="AD102" s="16" t="inlineStr"/>
      <c r="AE102" s="16" t="inlineStr"/>
      <c r="AF102" s="16" t="inlineStr">
        <is>
          <t>1.0.0</t>
        </is>
      </c>
      <c r="AG102" s="16" t="inlineStr">
        <is>
          <t>ZUBoard 1CG / Basys 3</t>
        </is>
      </c>
      <c r="AH102" s="16" t="inlineStr">
        <is>
          <t>BALU-RS-001 Rev 0.4</t>
        </is>
      </c>
    </row>
    <row r="103">
      <c r="A103" s="16" t="inlineStr">
        <is>
          <t>UART-REG-027</t>
        </is>
      </c>
      <c r="B103" s="16" t="inlineStr">
        <is>
          <t>REG</t>
        </is>
      </c>
      <c r="C103" s="16" t="inlineStr">
        <is>
          <t>structural</t>
        </is>
      </c>
      <c r="D103" s="16" t="inlineStr">
        <is>
          <t>The Buffered AXI-Lite UART shall implement BAUD_TUNING as a read-write register, returning the current tuning word on any read regardless of UART_EN state.</t>
        </is>
      </c>
      <c r="E103" s="16" t="inlineStr">
        <is>
          <t>BALU-RS-001</t>
        </is>
      </c>
      <c r="F103" s="16" t="inlineStr">
        <is>
          <t>§8.4</t>
        </is>
      </c>
      <c r="G103" s="16" t="inlineStr">
        <is>
          <t>test</t>
        </is>
      </c>
      <c r="H103" s="16" t="inlineStr">
        <is>
          <t>COV-001</t>
        </is>
      </c>
      <c r="I103" s="16" t="inlineStr">
        <is>
          <t>NCO tuning word sweep at 12 values from minimum (0x00000001) to maximum (0xFFFFFFFF) including all standard baud rates.</t>
        </is>
      </c>
      <c r="J103" s="16" t="inlineStr"/>
      <c r="K103" s="16" t="inlineStr">
        <is>
          <t>GENERATED</t>
        </is>
      </c>
      <c r="L103" s="16" t="inlineStr"/>
      <c r="M103" s="16" t="inlineStr"/>
      <c r="N103" s="16" t="inlineStr">
        <is>
          <t>Structural</t>
        </is>
      </c>
      <c r="O103" s="16" t="inlineStr">
        <is>
          <t>ALL</t>
        </is>
      </c>
      <c r="P103" s="16" t="inlineStr"/>
      <c r="Q103" s="16" t="inlineStr">
        <is>
          <t>vhdl/buffered_axi_lite_uart.vhd</t>
        </is>
      </c>
      <c r="R103" s="16" t="inlineStr">
        <is>
          <t>RTL</t>
        </is>
      </c>
      <c r="S103" s="16" t="inlineStr">
        <is>
          <t>NOT_RUN</t>
        </is>
      </c>
      <c r="T103" s="16" t="inlineStr"/>
      <c r="U103" s="16" t="inlineStr"/>
      <c r="V103" s="16" t="inlineStr"/>
      <c r="W103" s="16" t="inlineStr">
        <is>
          <t>NOT_RUN</t>
        </is>
      </c>
      <c r="X103" s="16" t="inlineStr"/>
      <c r="AA103" s="16" t="inlineStr"/>
      <c r="AB103" s="17">
        <f>IF(K103="WAIVED","WAIVED",IF(H103="","OPEN",IF(S103="BLOCKED","BLOCKED",IF(S103="FAIL","FAILING",IF(S103="PASS",IF(AA103&lt;&gt;"","AT_RISK",IF(AC103&lt;&gt;"","CLOSED","PASSING")),"COVERED")))))</f>
        <v/>
      </c>
      <c r="AC103" s="16" t="inlineStr"/>
      <c r="AD103" s="16" t="inlineStr"/>
      <c r="AE103" s="16" t="inlineStr"/>
      <c r="AF103" s="16" t="inlineStr">
        <is>
          <t>1.0.0</t>
        </is>
      </c>
      <c r="AG103" s="16" t="inlineStr">
        <is>
          <t>ZUBoard 1CG / Basys 3</t>
        </is>
      </c>
      <c r="AH103" s="16" t="inlineStr">
        <is>
          <t>BALU-RS-001 Rev 0.4</t>
        </is>
      </c>
    </row>
    <row r="104">
      <c r="A104" s="16" t="inlineStr">
        <is>
          <t>UART-REG-028</t>
        </is>
      </c>
      <c r="B104" s="16" t="inlineStr">
        <is>
          <t>REG</t>
        </is>
      </c>
      <c r="C104" s="16" t="inlineStr">
        <is>
          <t>structural</t>
        </is>
      </c>
      <c r="D104" s="16" t="inlineStr">
        <is>
          <t>The Buffered AXI-Lite UART shall silently ignore writes to BAUD_TUNING while UART_EN is asserted per UART-BR-004.</t>
        </is>
      </c>
      <c r="E104" s="16" t="inlineStr">
        <is>
          <t>BALU-RS-001</t>
        </is>
      </c>
      <c r="F104" s="16" t="inlineStr">
        <is>
          <t>§8.4</t>
        </is>
      </c>
      <c r="G104" s="16" t="inlineStr">
        <is>
          <t>test</t>
        </is>
      </c>
      <c r="H104" s="16" t="inlineStr">
        <is>
          <t>COV-013</t>
        </is>
      </c>
      <c r="I104" s="16" t="inlineStr">
        <is>
          <t>Assert UART_EN, write a new value to BAUD_TUNING, read back and verify original value unchanged; confirms silent-ignore while enabled.</t>
        </is>
      </c>
      <c r="J104" s="16" t="inlineStr"/>
      <c r="K104" s="16" t="inlineStr">
        <is>
          <t>GENERATED</t>
        </is>
      </c>
      <c r="L104" s="16" t="inlineStr"/>
      <c r="M104" s="16" t="inlineStr"/>
      <c r="N104" s="16" t="inlineStr">
        <is>
          <t>Structural</t>
        </is>
      </c>
      <c r="O104" s="16" t="inlineStr">
        <is>
          <t>ALL</t>
        </is>
      </c>
      <c r="P104" s="16" t="inlineStr"/>
      <c r="Q104" s="16" t="inlineStr">
        <is>
          <t>vhdl/buffered_axi_lite_uart.vhd</t>
        </is>
      </c>
      <c r="R104" s="16" t="inlineStr">
        <is>
          <t>RTL</t>
        </is>
      </c>
      <c r="S104" s="16" t="inlineStr">
        <is>
          <t>NOT_RUN</t>
        </is>
      </c>
      <c r="T104" s="16" t="inlineStr"/>
      <c r="U104" s="16" t="inlineStr"/>
      <c r="V104" s="16" t="inlineStr"/>
      <c r="W104" s="16" t="inlineStr">
        <is>
          <t>NOT_RUN</t>
        </is>
      </c>
      <c r="X104" s="16" t="inlineStr"/>
      <c r="AA104" s="16" t="inlineStr"/>
      <c r="AB104" s="17">
        <f>IF(K104="WAIVED","WAIVED",IF(H104="","OPEN",IF(S104="BLOCKED","BLOCKED",IF(S104="FAIL","FAILING",IF(S104="PASS",IF(AA104&lt;&gt;"","AT_RISK",IF(AC104&lt;&gt;"","CLOSED","PASSING")),"COVERED")))))</f>
        <v/>
      </c>
      <c r="AC104" s="16" t="inlineStr"/>
      <c r="AD104" s="16" t="inlineStr"/>
      <c r="AE104" s="16" t="inlineStr"/>
      <c r="AF104" s="16" t="inlineStr">
        <is>
          <t>1.0.0</t>
        </is>
      </c>
      <c r="AG104" s="16" t="inlineStr">
        <is>
          <t>ZUBoard 1CG / Basys 3</t>
        </is>
      </c>
      <c r="AH104" s="16" t="inlineStr">
        <is>
          <t>BALU-RS-001 Rev 0.4</t>
        </is>
      </c>
    </row>
    <row r="105">
      <c r="A105" s="16" t="inlineStr">
        <is>
          <t>UART-REG-029</t>
        </is>
      </c>
      <c r="B105" s="16" t="inlineStr">
        <is>
          <t>REG</t>
        </is>
      </c>
      <c r="C105" s="16" t="inlineStr">
        <is>
          <t>structural</t>
        </is>
      </c>
      <c r="D105" s="16" t="inlineStr">
        <is>
          <t>The Buffered AXI-Lite UART shall assign FIFO_CTRL[15:8] as TX_THRESH, the 8-bit TX FIFO interrupt threshold per UART-INT-009.</t>
        </is>
      </c>
      <c r="E105" s="16" t="inlineStr">
        <is>
          <t>BALU-RS-001</t>
        </is>
      </c>
      <c r="F105" s="16" t="inlineStr">
        <is>
          <t>§8.5</t>
        </is>
      </c>
      <c r="G105" s="16" t="inlineStr">
        <is>
          <t>test</t>
        </is>
      </c>
      <c r="H105" s="16" t="inlineStr">
        <is>
          <t>COV-019</t>
        </is>
      </c>
      <c r="I105" s="16" t="inlineStr">
        <is>
          <t>Drive TX_THRESH and RX_THRESH interrupt conditions, inject FRAME_ERR via stop-bit corruption, enable TIMEOUT interrupt; verify each INT_STATUS bit controlled by INT_ENABLE gate.</t>
        </is>
      </c>
      <c r="J105" s="16" t="inlineStr"/>
      <c r="K105" s="16" t="inlineStr">
        <is>
          <t>GENERATED</t>
        </is>
      </c>
      <c r="L105" s="16" t="inlineStr"/>
      <c r="M105" s="16" t="inlineStr"/>
      <c r="N105" s="16" t="inlineStr">
        <is>
          <t>Structural</t>
        </is>
      </c>
      <c r="O105" s="16" t="inlineStr">
        <is>
          <t>ALL</t>
        </is>
      </c>
      <c r="P105" s="16" t="inlineStr"/>
      <c r="Q105" s="16" t="inlineStr">
        <is>
          <t>vhdl/buffered_axi_lite_uart.vhd</t>
        </is>
      </c>
      <c r="R105" s="16" t="inlineStr">
        <is>
          <t>RTL</t>
        </is>
      </c>
      <c r="S105" s="16" t="inlineStr">
        <is>
          <t>NOT_RUN</t>
        </is>
      </c>
      <c r="T105" s="16" t="inlineStr"/>
      <c r="U105" s="16" t="inlineStr"/>
      <c r="V105" s="16" t="inlineStr"/>
      <c r="W105" s="16" t="inlineStr">
        <is>
          <t>NOT_RUN</t>
        </is>
      </c>
      <c r="X105" s="16" t="inlineStr"/>
      <c r="AA105" s="16" t="inlineStr"/>
      <c r="AB105" s="17">
        <f>IF(K105="WAIVED","WAIVED",IF(H105="","OPEN",IF(S105="BLOCKED","BLOCKED",IF(S105="FAIL","FAILING",IF(S105="PASS",IF(AA105&lt;&gt;"","AT_RISK",IF(AC105&lt;&gt;"","CLOSED","PASSING")),"COVERED")))))</f>
        <v/>
      </c>
      <c r="AC105" s="16" t="inlineStr"/>
      <c r="AD105" s="16" t="inlineStr"/>
      <c r="AE105" s="16" t="inlineStr"/>
      <c r="AF105" s="16" t="inlineStr">
        <is>
          <t>1.0.0</t>
        </is>
      </c>
      <c r="AG105" s="16" t="inlineStr">
        <is>
          <t>ZUBoard 1CG / Basys 3</t>
        </is>
      </c>
      <c r="AH105" s="16" t="inlineStr">
        <is>
          <t>BALU-RS-001 Rev 0.4</t>
        </is>
      </c>
    </row>
    <row r="106">
      <c r="A106" s="16" t="inlineStr">
        <is>
          <t>UART-REG-030</t>
        </is>
      </c>
      <c r="B106" s="16" t="inlineStr">
        <is>
          <t>REG</t>
        </is>
      </c>
      <c r="C106" s="16" t="inlineStr">
        <is>
          <t>structural</t>
        </is>
      </c>
      <c r="D106" s="16" t="inlineStr">
        <is>
          <t>The Buffered AXI-Lite UART shall assign FIFO_CTRL[7:0] as RX_THRESH, the 8-bit RX FIFO interrupt threshold per UART-INT-010.</t>
        </is>
      </c>
      <c r="E106" s="16" t="inlineStr">
        <is>
          <t>BALU-RS-001</t>
        </is>
      </c>
      <c r="F106" s="16" t="inlineStr">
        <is>
          <t>§8.5</t>
        </is>
      </c>
      <c r="G106" s="16" t="inlineStr">
        <is>
          <t>test</t>
        </is>
      </c>
      <c r="H106" s="16" t="inlineStr">
        <is>
          <t>COV-019</t>
        </is>
      </c>
      <c r="I106" s="16" t="inlineStr">
        <is>
          <t>Drive TX_THRESH and RX_THRESH interrupt conditions, inject FRAME_ERR via stop-bit corruption, enable TIMEOUT interrupt; verify each INT_STATUS bit controlled by INT_ENABLE gate.</t>
        </is>
      </c>
      <c r="J106" s="16" t="inlineStr"/>
      <c r="K106" s="16" t="inlineStr">
        <is>
          <t>GENERATED</t>
        </is>
      </c>
      <c r="L106" s="16" t="inlineStr"/>
      <c r="M106" s="16" t="inlineStr"/>
      <c r="N106" s="16" t="inlineStr">
        <is>
          <t>Structural</t>
        </is>
      </c>
      <c r="O106" s="16" t="inlineStr">
        <is>
          <t>ALL</t>
        </is>
      </c>
      <c r="P106" s="16" t="inlineStr"/>
      <c r="Q106" s="16" t="inlineStr">
        <is>
          <t>vhdl/buffered_axi_lite_uart.vhd</t>
        </is>
      </c>
      <c r="R106" s="16" t="inlineStr">
        <is>
          <t>RTL</t>
        </is>
      </c>
      <c r="S106" s="16" t="inlineStr">
        <is>
          <t>NOT_RUN</t>
        </is>
      </c>
      <c r="T106" s="16" t="inlineStr"/>
      <c r="U106" s="16" t="inlineStr"/>
      <c r="V106" s="16" t="inlineStr"/>
      <c r="W106" s="16" t="inlineStr">
        <is>
          <t>NOT_RUN</t>
        </is>
      </c>
      <c r="X106" s="16" t="inlineStr"/>
      <c r="AA106" s="16" t="inlineStr"/>
      <c r="AB106" s="17">
        <f>IF(K106="WAIVED","WAIVED",IF(H106="","OPEN",IF(S106="BLOCKED","BLOCKED",IF(S106="FAIL","FAILING",IF(S106="PASS",IF(AA106&lt;&gt;"","AT_RISK",IF(AC106&lt;&gt;"","CLOSED","PASSING")),"COVERED")))))</f>
        <v/>
      </c>
      <c r="AC106" s="16" t="inlineStr"/>
      <c r="AD106" s="16" t="inlineStr"/>
      <c r="AE106" s="16" t="inlineStr"/>
      <c r="AF106" s="16" t="inlineStr">
        <is>
          <t>1.0.0</t>
        </is>
      </c>
      <c r="AG106" s="16" t="inlineStr">
        <is>
          <t>ZUBoard 1CG / Basys 3</t>
        </is>
      </c>
      <c r="AH106" s="16" t="inlineStr">
        <is>
          <t>BALU-RS-001 Rev 0.4</t>
        </is>
      </c>
    </row>
    <row r="107">
      <c r="A107" s="16" t="inlineStr">
        <is>
          <t>UART-REG-031</t>
        </is>
      </c>
      <c r="B107" s="16" t="inlineStr">
        <is>
          <t>REG</t>
        </is>
      </c>
      <c r="C107" s="16" t="inlineStr">
        <is>
          <t>structural</t>
        </is>
      </c>
      <c r="D107" s="16" t="inlineStr">
        <is>
          <t>The Buffered AXI-Lite UART shall reset FIFO_CTRL such that TX_THRESH = RX_THRESH = G_FIFO_DEPTH / 2 per UART-PAR-008.</t>
        </is>
      </c>
      <c r="E107" s="16" t="inlineStr">
        <is>
          <t>BALU-RS-001</t>
        </is>
      </c>
      <c r="F107" s="16" t="inlineStr">
        <is>
          <t>§8.5</t>
        </is>
      </c>
      <c r="G107" s="16" t="inlineStr">
        <is>
          <t>test</t>
        </is>
      </c>
      <c r="H107" s="16" t="inlineStr">
        <is>
          <t>COV-015</t>
        </is>
      </c>
      <c r="I107" s="16" t="inlineStr">
        <is>
          <t>Assert then deassert reset; read all 12 registers and compare each field to the reset value specified in Table 8-x.</t>
        </is>
      </c>
      <c r="J107" s="16" t="inlineStr"/>
      <c r="K107" s="16" t="inlineStr">
        <is>
          <t>GENERATED</t>
        </is>
      </c>
      <c r="L107" s="16" t="inlineStr"/>
      <c r="M107" s="16" t="inlineStr"/>
      <c r="N107" s="16" t="inlineStr">
        <is>
          <t>Structural</t>
        </is>
      </c>
      <c r="O107" s="16" t="inlineStr">
        <is>
          <t>ALL</t>
        </is>
      </c>
      <c r="P107" s="16" t="inlineStr"/>
      <c r="Q107" s="16" t="inlineStr">
        <is>
          <t>vhdl/buffered_axi_lite_uart.vhd</t>
        </is>
      </c>
      <c r="R107" s="16" t="inlineStr">
        <is>
          <t>RTL</t>
        </is>
      </c>
      <c r="S107" s="16" t="inlineStr">
        <is>
          <t>NOT_RUN</t>
        </is>
      </c>
      <c r="T107" s="16" t="inlineStr"/>
      <c r="U107" s="16" t="inlineStr"/>
      <c r="V107" s="16" t="inlineStr"/>
      <c r="W107" s="16" t="inlineStr">
        <is>
          <t>NOT_RUN</t>
        </is>
      </c>
      <c r="X107" s="16" t="inlineStr"/>
      <c r="AA107" s="16" t="inlineStr"/>
      <c r="AB107" s="17">
        <f>IF(K107="WAIVED","WAIVED",IF(H107="","OPEN",IF(S107="BLOCKED","BLOCKED",IF(S107="FAIL","FAILING",IF(S107="PASS",IF(AA107&lt;&gt;"","AT_RISK",IF(AC107&lt;&gt;"","CLOSED","PASSING")),"COVERED")))))</f>
        <v/>
      </c>
      <c r="AC107" s="16" t="inlineStr"/>
      <c r="AD107" s="16" t="inlineStr"/>
      <c r="AE107" s="16" t="inlineStr"/>
      <c r="AF107" s="16" t="inlineStr">
        <is>
          <t>1.0.0</t>
        </is>
      </c>
      <c r="AG107" s="16" t="inlineStr">
        <is>
          <t>ZUBoard 1CG / Basys 3</t>
        </is>
      </c>
      <c r="AH107" s="16" t="inlineStr">
        <is>
          <t>BALU-RS-001 Rev 0.4</t>
        </is>
      </c>
    </row>
    <row r="108">
      <c r="A108" s="16" t="inlineStr">
        <is>
          <t>UART-REG-032</t>
        </is>
      </c>
      <c r="B108" s="16" t="inlineStr">
        <is>
          <t>REG</t>
        </is>
      </c>
      <c r="C108" s="16" t="inlineStr">
        <is>
          <t>structural</t>
        </is>
      </c>
      <c r="D108" s="16" t="inlineStr">
        <is>
          <t>The Buffered AXI-Lite UART shall implement FIFO_STATUS as a read-only register.</t>
        </is>
      </c>
      <c r="E108" s="16" t="inlineStr">
        <is>
          <t>BALU-RS-001</t>
        </is>
      </c>
      <c r="F108" s="16" t="inlineStr">
        <is>
          <t>§8.6</t>
        </is>
      </c>
      <c r="G108" s="16" t="inlineStr">
        <is>
          <t>test</t>
        </is>
      </c>
      <c r="H108" s="16" t="inlineStr">
        <is>
          <t>COV-017, COV-018</t>
        </is>
      </c>
      <c r="I108" s="16" t="inlineStr">
        <is>
          <t>Structural inspection: verify 8-bit data frames transmitted and received, AXI data width=32, address width sufficient, single-beat transactions only.</t>
        </is>
      </c>
      <c r="J108" s="16" t="inlineStr"/>
      <c r="K108" s="16" t="inlineStr">
        <is>
          <t>GENERATED</t>
        </is>
      </c>
      <c r="L108" s="16" t="inlineStr"/>
      <c r="M108" s="16" t="inlineStr"/>
      <c r="N108" s="16" t="inlineStr">
        <is>
          <t>Structural</t>
        </is>
      </c>
      <c r="O108" s="16" t="inlineStr">
        <is>
          <t>ALL</t>
        </is>
      </c>
      <c r="P108" s="16" t="inlineStr"/>
      <c r="Q108" s="16" t="inlineStr">
        <is>
          <t>vhdl/buffered_axi_lite_uart.vhd</t>
        </is>
      </c>
      <c r="R108" s="16" t="inlineStr">
        <is>
          <t>RTL</t>
        </is>
      </c>
      <c r="S108" s="16" t="inlineStr">
        <is>
          <t>NOT_RUN</t>
        </is>
      </c>
      <c r="T108" s="16" t="inlineStr"/>
      <c r="U108" s="16" t="inlineStr"/>
      <c r="V108" s="16" t="inlineStr"/>
      <c r="W108" s="16" t="inlineStr">
        <is>
          <t>NOT_RUN</t>
        </is>
      </c>
      <c r="X108" s="16" t="inlineStr"/>
      <c r="AA108" s="16" t="inlineStr"/>
      <c r="AB108" s="17">
        <f>IF(K108="WAIVED","WAIVED",IF(H108="","OPEN",IF(S108="BLOCKED","BLOCKED",IF(S108="FAIL","FAILING",IF(S108="PASS",IF(AA108&lt;&gt;"","AT_RISK",IF(AC108&lt;&gt;"","CLOSED","PASSING")),"COVERED")))))</f>
        <v/>
      </c>
      <c r="AC108" s="16" t="inlineStr"/>
      <c r="AD108" s="16" t="inlineStr"/>
      <c r="AE108" s="16" t="inlineStr"/>
      <c r="AF108" s="16" t="inlineStr">
        <is>
          <t>1.0.0</t>
        </is>
      </c>
      <c r="AG108" s="16" t="inlineStr">
        <is>
          <t>ZUBoard 1CG / Basys 3</t>
        </is>
      </c>
      <c r="AH108" s="16" t="inlineStr">
        <is>
          <t>BALU-RS-001 Rev 0.4</t>
        </is>
      </c>
    </row>
    <row r="109">
      <c r="A109" s="16" t="inlineStr">
        <is>
          <t>UART-REG-033</t>
        </is>
      </c>
      <c r="B109" s="16" t="inlineStr">
        <is>
          <t>REG</t>
        </is>
      </c>
      <c r="C109" s="16" t="inlineStr">
        <is>
          <t>structural</t>
        </is>
      </c>
      <c r="D109" s="16" t="inlineStr">
        <is>
          <t>The Buffered AXI-Lite UART shall assign FIFO_STATUS[15:8] as TX_LEVEL per UART-FIFO-008.</t>
        </is>
      </c>
      <c r="E109" s="16" t="inlineStr">
        <is>
          <t>BALU-RS-001</t>
        </is>
      </c>
      <c r="F109" s="16" t="inlineStr">
        <is>
          <t>§8.6</t>
        </is>
      </c>
      <c r="G109" s="16" t="inlineStr">
        <is>
          <t>test</t>
        </is>
      </c>
      <c r="H109" s="16" t="inlineStr">
        <is>
          <t>COV-005, COV-017</t>
        </is>
      </c>
      <c r="I109" s="16" t="inlineStr">
        <is>
          <t>TX FIFO occupancy driven to 0, TX_THRESH-1, TX_THRESH, TX_THRESH+1, and G_FIFO_DEPTH to verify status flags and write-ignore behavior.</t>
        </is>
      </c>
      <c r="J109" s="16" t="inlineStr"/>
      <c r="K109" s="16" t="inlineStr">
        <is>
          <t>GENERATED</t>
        </is>
      </c>
      <c r="L109" s="16" t="inlineStr"/>
      <c r="M109" s="16" t="inlineStr"/>
      <c r="N109" s="16" t="inlineStr">
        <is>
          <t>Structural</t>
        </is>
      </c>
      <c r="O109" s="16" t="inlineStr">
        <is>
          <t>ALL</t>
        </is>
      </c>
      <c r="P109" s="16" t="inlineStr"/>
      <c r="Q109" s="16" t="inlineStr">
        <is>
          <t>vhdl/buffered_axi_lite_uart.vhd</t>
        </is>
      </c>
      <c r="R109" s="16" t="inlineStr">
        <is>
          <t>RTL</t>
        </is>
      </c>
      <c r="S109" s="16" t="inlineStr">
        <is>
          <t>NOT_RUN</t>
        </is>
      </c>
      <c r="T109" s="16" t="inlineStr"/>
      <c r="U109" s="16" t="inlineStr"/>
      <c r="V109" s="16" t="inlineStr"/>
      <c r="W109" s="16" t="inlineStr">
        <is>
          <t>NOT_RUN</t>
        </is>
      </c>
      <c r="X109" s="16" t="inlineStr"/>
      <c r="AA109" s="16" t="inlineStr"/>
      <c r="AB109" s="17">
        <f>IF(K109="WAIVED","WAIVED",IF(H109="","OPEN",IF(S109="BLOCKED","BLOCKED",IF(S109="FAIL","FAILING",IF(S109="PASS",IF(AA109&lt;&gt;"","AT_RISK",IF(AC109&lt;&gt;"","CLOSED","PASSING")),"COVERED")))))</f>
        <v/>
      </c>
      <c r="AC109" s="16" t="inlineStr"/>
      <c r="AD109" s="16" t="inlineStr"/>
      <c r="AE109" s="16" t="inlineStr"/>
      <c r="AF109" s="16" t="inlineStr">
        <is>
          <t>1.0.0</t>
        </is>
      </c>
      <c r="AG109" s="16" t="inlineStr">
        <is>
          <t>ZUBoard 1CG / Basys 3</t>
        </is>
      </c>
      <c r="AH109" s="16" t="inlineStr">
        <is>
          <t>BALU-RS-001 Rev 0.4</t>
        </is>
      </c>
    </row>
    <row r="110">
      <c r="A110" s="16" t="inlineStr">
        <is>
          <t>UART-REG-034</t>
        </is>
      </c>
      <c r="B110" s="16" t="inlineStr">
        <is>
          <t>REG</t>
        </is>
      </c>
      <c r="C110" s="16" t="inlineStr">
        <is>
          <t>structural</t>
        </is>
      </c>
      <c r="D110" s="16" t="inlineStr">
        <is>
          <t>The Buffered AXI-Lite UART shall assign FIFO_STATUS[7:0] as RX_LEVEL per UART-FIFO-009.</t>
        </is>
      </c>
      <c r="E110" s="16" t="inlineStr">
        <is>
          <t>BALU-RS-001</t>
        </is>
      </c>
      <c r="F110" s="16" t="inlineStr">
        <is>
          <t>§8.6</t>
        </is>
      </c>
      <c r="G110" s="16" t="inlineStr">
        <is>
          <t>test</t>
        </is>
      </c>
      <c r="H110" s="16" t="inlineStr">
        <is>
          <t>COV-004, COV-017</t>
        </is>
      </c>
      <c r="I110" s="16" t="inlineStr">
        <is>
          <t>RX FIFO occupancy driven to 0, RX_THRESH-1, RX_THRESH, RX_THRESH+1, and G_FIFO_DEPTH to verify status flags and overrun discard.</t>
        </is>
      </c>
      <c r="J110" s="16" t="inlineStr"/>
      <c r="K110" s="16" t="inlineStr">
        <is>
          <t>GENERATED</t>
        </is>
      </c>
      <c r="L110" s="16" t="inlineStr"/>
      <c r="M110" s="16" t="inlineStr"/>
      <c r="N110" s="16" t="inlineStr">
        <is>
          <t>Structural</t>
        </is>
      </c>
      <c r="O110" s="16" t="inlineStr">
        <is>
          <t>ALL</t>
        </is>
      </c>
      <c r="P110" s="16" t="inlineStr"/>
      <c r="Q110" s="16" t="inlineStr">
        <is>
          <t>vhdl/buffered_axi_lite_uart.vhd</t>
        </is>
      </c>
      <c r="R110" s="16" t="inlineStr">
        <is>
          <t>RTL</t>
        </is>
      </c>
      <c r="S110" s="16" t="inlineStr">
        <is>
          <t>NOT_RUN</t>
        </is>
      </c>
      <c r="T110" s="16" t="inlineStr"/>
      <c r="U110" s="16" t="inlineStr"/>
      <c r="V110" s="16" t="inlineStr"/>
      <c r="W110" s="16" t="inlineStr">
        <is>
          <t>NOT_RUN</t>
        </is>
      </c>
      <c r="X110" s="16" t="inlineStr"/>
      <c r="AA110" s="16" t="inlineStr"/>
      <c r="AB110" s="17">
        <f>IF(K110="WAIVED","WAIVED",IF(H110="","OPEN",IF(S110="BLOCKED","BLOCKED",IF(S110="FAIL","FAILING",IF(S110="PASS",IF(AA110&lt;&gt;"","AT_RISK",IF(AC110&lt;&gt;"","CLOSED","PASSING")),"COVERED")))))</f>
        <v/>
      </c>
      <c r="AC110" s="16" t="inlineStr"/>
      <c r="AD110" s="16" t="inlineStr"/>
      <c r="AE110" s="16" t="inlineStr"/>
      <c r="AF110" s="16" t="inlineStr">
        <is>
          <t>1.0.0</t>
        </is>
      </c>
      <c r="AG110" s="16" t="inlineStr">
        <is>
          <t>ZUBoard 1CG / Basys 3</t>
        </is>
      </c>
      <c r="AH110" s="16" t="inlineStr">
        <is>
          <t>BALU-RS-001 Rev 0.4</t>
        </is>
      </c>
    </row>
    <row r="111">
      <c r="A111" s="16" t="inlineStr">
        <is>
          <t>UART-REG-035</t>
        </is>
      </c>
      <c r="B111" s="16" t="inlineStr">
        <is>
          <t>REG</t>
        </is>
      </c>
      <c r="C111" s="16" t="inlineStr">
        <is>
          <t>structural</t>
        </is>
      </c>
      <c r="D111" s="16" t="inlineStr">
        <is>
          <t>The Buffered AXI-Lite UART shall assign TIMEOUT_VAL[15:0] as the receive timeout count in baud clock ticks per UART-TO-001 through UART-TO-007.</t>
        </is>
      </c>
      <c r="E111" s="16" t="inlineStr">
        <is>
          <t>BALU-RS-001</t>
        </is>
      </c>
      <c r="F111" s="16" t="inlineStr">
        <is>
          <t>§8.7</t>
        </is>
      </c>
      <c r="G111" s="16" t="inlineStr">
        <is>
          <t>test</t>
        </is>
      </c>
      <c r="H111" s="16" t="inlineStr">
        <is>
          <t>COV-006</t>
        </is>
      </c>
      <c r="I111" s="16" t="inlineStr">
        <is>
          <t>TIMEOUT_VAL set to 0x0000, 0x0001, G_TIMEOUT_DEFAULT, 0xFFFE, and 0xFFFF; idle receiver until timeout fires for each non-zero value.</t>
        </is>
      </c>
      <c r="J111" s="16" t="inlineStr"/>
      <c r="K111" s="16" t="inlineStr">
        <is>
          <t>GENERATED</t>
        </is>
      </c>
      <c r="L111" s="16" t="inlineStr"/>
      <c r="M111" s="16" t="inlineStr"/>
      <c r="N111" s="16" t="inlineStr">
        <is>
          <t>Structural</t>
        </is>
      </c>
      <c r="O111" s="16" t="inlineStr">
        <is>
          <t>ALL</t>
        </is>
      </c>
      <c r="P111" s="16" t="inlineStr"/>
      <c r="Q111" s="16" t="inlineStr">
        <is>
          <t>vhdl/buffered_axi_lite_uart.vhd</t>
        </is>
      </c>
      <c r="R111" s="16" t="inlineStr">
        <is>
          <t>RTL</t>
        </is>
      </c>
      <c r="S111" s="16" t="inlineStr">
        <is>
          <t>NOT_RUN</t>
        </is>
      </c>
      <c r="T111" s="16" t="inlineStr"/>
      <c r="U111" s="16" t="inlineStr"/>
      <c r="V111" s="16" t="inlineStr"/>
      <c r="W111" s="16" t="inlineStr">
        <is>
          <t>NOT_RUN</t>
        </is>
      </c>
      <c r="X111" s="16" t="inlineStr"/>
      <c r="AA111" s="16" t="inlineStr"/>
      <c r="AB111" s="17">
        <f>IF(K111="WAIVED","WAIVED",IF(H111="","OPEN",IF(S111="BLOCKED","BLOCKED",IF(S111="FAIL","FAILING",IF(S111="PASS",IF(AA111&lt;&gt;"","AT_RISK",IF(AC111&lt;&gt;"","CLOSED","PASSING")),"COVERED")))))</f>
        <v/>
      </c>
      <c r="AC111" s="16" t="inlineStr"/>
      <c r="AD111" s="16" t="inlineStr"/>
      <c r="AE111" s="16" t="inlineStr"/>
      <c r="AF111" s="16" t="inlineStr">
        <is>
          <t>1.0.0</t>
        </is>
      </c>
      <c r="AG111" s="16" t="inlineStr">
        <is>
          <t>ZUBoard 1CG / Basys 3</t>
        </is>
      </c>
      <c r="AH111" s="16" t="inlineStr">
        <is>
          <t>BALU-RS-001 Rev 0.4</t>
        </is>
      </c>
    </row>
    <row r="112">
      <c r="A112" s="16" t="inlineStr">
        <is>
          <t>UART-REG-036</t>
        </is>
      </c>
      <c r="B112" s="16" t="inlineStr">
        <is>
          <t>REG</t>
        </is>
      </c>
      <c r="C112" s="16" t="inlineStr">
        <is>
          <t>structural</t>
        </is>
      </c>
      <c r="D112" s="16" t="inlineStr">
        <is>
          <t>The Buffered AXI-Lite UART shall reset TIMEOUT_VAL to G_TIMEOUT_DEFAULT.</t>
        </is>
      </c>
      <c r="E112" s="16" t="inlineStr">
        <is>
          <t>BALU-RS-001</t>
        </is>
      </c>
      <c r="F112" s="16" t="inlineStr">
        <is>
          <t>§8.7</t>
        </is>
      </c>
      <c r="G112" s="16" t="inlineStr">
        <is>
          <t>test</t>
        </is>
      </c>
      <c r="H112" s="16" t="inlineStr">
        <is>
          <t>COV-006, COV-015</t>
        </is>
      </c>
      <c r="I112" s="16" t="inlineStr">
        <is>
          <t>TIMEOUT_VAL set to 0x0000, 0x0001, G_TIMEOUT_DEFAULT, 0xFFFE, and 0xFFFF; idle receiver until timeout fires for each non-zero value.</t>
        </is>
      </c>
      <c r="J112" s="16" t="inlineStr"/>
      <c r="K112" s="16" t="inlineStr">
        <is>
          <t>GENERATED</t>
        </is>
      </c>
      <c r="L112" s="16" t="inlineStr"/>
      <c r="M112" s="16" t="inlineStr"/>
      <c r="N112" s="16" t="inlineStr">
        <is>
          <t>Structural</t>
        </is>
      </c>
      <c r="O112" s="16" t="inlineStr">
        <is>
          <t>ALL</t>
        </is>
      </c>
      <c r="P112" s="16" t="inlineStr"/>
      <c r="Q112" s="16" t="inlineStr">
        <is>
          <t>vhdl/buffered_axi_lite_uart.vhd</t>
        </is>
      </c>
      <c r="R112" s="16" t="inlineStr">
        <is>
          <t>RTL</t>
        </is>
      </c>
      <c r="S112" s="16" t="inlineStr">
        <is>
          <t>NOT_RUN</t>
        </is>
      </c>
      <c r="T112" s="16" t="inlineStr"/>
      <c r="U112" s="16" t="inlineStr"/>
      <c r="V112" s="16" t="inlineStr"/>
      <c r="W112" s="16" t="inlineStr">
        <is>
          <t>NOT_RUN</t>
        </is>
      </c>
      <c r="X112" s="16" t="inlineStr"/>
      <c r="AA112" s="16" t="inlineStr"/>
      <c r="AB112" s="17">
        <f>IF(K112="WAIVED","WAIVED",IF(H112="","OPEN",IF(S112="BLOCKED","BLOCKED",IF(S112="FAIL","FAILING",IF(S112="PASS",IF(AA112&lt;&gt;"","AT_RISK",IF(AC112&lt;&gt;"","CLOSED","PASSING")),"COVERED")))))</f>
        <v/>
      </c>
      <c r="AC112" s="16" t="inlineStr"/>
      <c r="AD112" s="16" t="inlineStr"/>
      <c r="AE112" s="16" t="inlineStr"/>
      <c r="AF112" s="16" t="inlineStr">
        <is>
          <t>1.0.0</t>
        </is>
      </c>
      <c r="AG112" s="16" t="inlineStr">
        <is>
          <t>ZUBoard 1CG / Basys 3</t>
        </is>
      </c>
      <c r="AH112" s="16" t="inlineStr">
        <is>
          <t>BALU-RS-001 Rev 0.4</t>
        </is>
      </c>
    </row>
    <row r="113">
      <c r="A113" s="16" t="inlineStr">
        <is>
          <t>UART-REG-037</t>
        </is>
      </c>
      <c r="B113" s="16" t="inlineStr">
        <is>
          <t>REG</t>
        </is>
      </c>
      <c r="C113" s="16" t="inlineStr">
        <is>
          <t>structural</t>
        </is>
      </c>
      <c r="D113" s="16" t="inlineStr">
        <is>
          <t>The Buffered AXI-Lite UART shall assign INT_ENABLE[7:0] as individual enable bits for each interrupt source per UART-INT-006. Bit positions shall correspond to INT_STATUS bit positions.</t>
        </is>
      </c>
      <c r="E113" s="16" t="inlineStr">
        <is>
          <t>BALU-RS-001</t>
        </is>
      </c>
      <c r="F113" s="16" t="inlineStr">
        <is>
          <t>§8.8</t>
        </is>
      </c>
      <c r="G113" s="16" t="inlineStr">
        <is>
          <t>test</t>
        </is>
      </c>
      <c r="H113" s="16" t="inlineStr">
        <is>
          <t>COV-007, COV-019</t>
        </is>
      </c>
      <c r="I113" s="16" t="inlineStr">
        <is>
          <t>Each of 8 interrupt sources set and cleared independently via directed stimulus; verify IRQ asserts and deasserts correctly for each bit.</t>
        </is>
      </c>
      <c r="J113" s="16" t="inlineStr"/>
      <c r="K113" s="16" t="inlineStr">
        <is>
          <t>GENERATED</t>
        </is>
      </c>
      <c r="L113" s="16" t="inlineStr"/>
      <c r="M113" s="16" t="inlineStr"/>
      <c r="N113" s="16" t="inlineStr">
        <is>
          <t>Structural</t>
        </is>
      </c>
      <c r="O113" s="16" t="inlineStr">
        <is>
          <t>ALL</t>
        </is>
      </c>
      <c r="P113" s="16" t="inlineStr"/>
      <c r="Q113" s="16" t="inlineStr">
        <is>
          <t>vhdl/buffered_axi_lite_uart.vhd</t>
        </is>
      </c>
      <c r="R113" s="16" t="inlineStr">
        <is>
          <t>RTL</t>
        </is>
      </c>
      <c r="S113" s="16" t="inlineStr">
        <is>
          <t>NOT_RUN</t>
        </is>
      </c>
      <c r="T113" s="16" t="inlineStr"/>
      <c r="U113" s="16" t="inlineStr"/>
      <c r="V113" s="16" t="inlineStr"/>
      <c r="W113" s="16" t="inlineStr">
        <is>
          <t>NOT_RUN</t>
        </is>
      </c>
      <c r="X113" s="16" t="inlineStr"/>
      <c r="AA113" s="16" t="inlineStr"/>
      <c r="AB113" s="17">
        <f>IF(K113="WAIVED","WAIVED",IF(H113="","OPEN",IF(S113="BLOCKED","BLOCKED",IF(S113="FAIL","FAILING",IF(S113="PASS",IF(AA113&lt;&gt;"","AT_RISK",IF(AC113&lt;&gt;"","CLOSED","PASSING")),"COVERED")))))</f>
        <v/>
      </c>
      <c r="AC113" s="16" t="inlineStr"/>
      <c r="AD113" s="16" t="inlineStr"/>
      <c r="AE113" s="16" t="inlineStr"/>
      <c r="AF113" s="16" t="inlineStr">
        <is>
          <t>1.0.0</t>
        </is>
      </c>
      <c r="AG113" s="16" t="inlineStr">
        <is>
          <t>ZUBoard 1CG / Basys 3</t>
        </is>
      </c>
      <c r="AH113" s="16" t="inlineStr">
        <is>
          <t>BALU-RS-001 Rev 0.4</t>
        </is>
      </c>
    </row>
    <row r="114">
      <c r="A114" s="16" t="inlineStr">
        <is>
          <t>UART-REG-038</t>
        </is>
      </c>
      <c r="B114" s="16" t="inlineStr">
        <is>
          <t>REG</t>
        </is>
      </c>
      <c r="C114" s="16" t="inlineStr">
        <is>
          <t>structural</t>
        </is>
      </c>
      <c r="D114" s="16" t="inlineStr">
        <is>
          <t>The Buffered AXI-Lite UART shall implement INT_STATUS as a read-only register, silently ignoring writes.</t>
        </is>
      </c>
      <c r="E114" s="16" t="inlineStr">
        <is>
          <t>BALU-RS-001</t>
        </is>
      </c>
      <c r="F114" s="16" t="inlineStr">
        <is>
          <t>§8.9</t>
        </is>
      </c>
      <c r="G114" s="16" t="inlineStr">
        <is>
          <t>test</t>
        </is>
      </c>
      <c r="H114" s="16" t="inlineStr">
        <is>
          <t>COV-018, COV-019</t>
        </is>
      </c>
      <c r="I114" s="16" t="inlineStr">
        <is>
          <t>Write to each read-only register (STATUS, FIFO_STATUS, INT_STATUS, INT_CLEAR, TX_DATA reads, RX_DATA writes); read back and verify state unchanged.</t>
        </is>
      </c>
      <c r="J114" s="16" t="inlineStr"/>
      <c r="K114" s="16" t="inlineStr">
        <is>
          <t>GENERATED</t>
        </is>
      </c>
      <c r="L114" s="16" t="inlineStr"/>
      <c r="M114" s="16" t="inlineStr"/>
      <c r="N114" s="16" t="inlineStr">
        <is>
          <t>Structural</t>
        </is>
      </c>
      <c r="O114" s="16" t="inlineStr">
        <is>
          <t>ALL</t>
        </is>
      </c>
      <c r="P114" s="16" t="inlineStr"/>
      <c r="Q114" s="16" t="inlineStr">
        <is>
          <t>vhdl/buffered_axi_lite_uart.vhd</t>
        </is>
      </c>
      <c r="R114" s="16" t="inlineStr">
        <is>
          <t>RTL</t>
        </is>
      </c>
      <c r="S114" s="16" t="inlineStr">
        <is>
          <t>NOT_RUN</t>
        </is>
      </c>
      <c r="T114" s="16" t="inlineStr"/>
      <c r="U114" s="16" t="inlineStr"/>
      <c r="V114" s="16" t="inlineStr"/>
      <c r="W114" s="16" t="inlineStr">
        <is>
          <t>NOT_RUN</t>
        </is>
      </c>
      <c r="X114" s="16" t="inlineStr"/>
      <c r="AA114" s="16" t="inlineStr"/>
      <c r="AB114" s="17">
        <f>IF(K114="WAIVED","WAIVED",IF(H114="","OPEN",IF(S114="BLOCKED","BLOCKED",IF(S114="FAIL","FAILING",IF(S114="PASS",IF(AA114&lt;&gt;"","AT_RISK",IF(AC114&lt;&gt;"","CLOSED","PASSING")),"COVERED")))))</f>
        <v/>
      </c>
      <c r="AC114" s="16" t="inlineStr"/>
      <c r="AD114" s="16" t="inlineStr"/>
      <c r="AE114" s="16" t="inlineStr"/>
      <c r="AF114" s="16" t="inlineStr">
        <is>
          <t>1.0.0</t>
        </is>
      </c>
      <c r="AG114" s="16" t="inlineStr">
        <is>
          <t>ZUBoard 1CG / Basys 3</t>
        </is>
      </c>
      <c r="AH114" s="16" t="inlineStr">
        <is>
          <t>BALU-RS-001 Rev 0.4</t>
        </is>
      </c>
    </row>
    <row r="115">
      <c r="A115" s="16" t="inlineStr">
        <is>
          <t>UART-REG-039</t>
        </is>
      </c>
      <c r="B115" s="16" t="inlineStr">
        <is>
          <t>REG</t>
        </is>
      </c>
      <c r="C115" s="16" t="inlineStr">
        <is>
          <t>structural</t>
        </is>
      </c>
      <c r="D115" s="16" t="inlineStr">
        <is>
          <t>The Buffered AXI-Lite UART shall implement INT_STATUS bits as sticky per UART-INT-002 and UART-INT-003.</t>
        </is>
      </c>
      <c r="E115" s="16" t="inlineStr">
        <is>
          <t>BALU-RS-001</t>
        </is>
      </c>
      <c r="F115" s="16" t="inlineStr">
        <is>
          <t>§8.9</t>
        </is>
      </c>
      <c r="G115" s="16" t="inlineStr">
        <is>
          <t>test</t>
        </is>
      </c>
      <c r="H115" s="16" t="inlineStr">
        <is>
          <t>COV-007, COV-019</t>
        </is>
      </c>
      <c r="I115" s="16" t="inlineStr">
        <is>
          <t>Each of 8 interrupt sources set and cleared independently via directed stimulus; verify IRQ asserts and deasserts correctly for each bit.</t>
        </is>
      </c>
      <c r="J115" s="16" t="inlineStr"/>
      <c r="K115" s="16" t="inlineStr">
        <is>
          <t>GENERATED</t>
        </is>
      </c>
      <c r="L115" s="16" t="inlineStr"/>
      <c r="M115" s="16" t="inlineStr"/>
      <c r="N115" s="16" t="inlineStr">
        <is>
          <t>Structural</t>
        </is>
      </c>
      <c r="O115" s="16" t="inlineStr">
        <is>
          <t>ALL</t>
        </is>
      </c>
      <c r="P115" s="16" t="inlineStr"/>
      <c r="Q115" s="16" t="inlineStr">
        <is>
          <t>vhdl/buffered_axi_lite_uart.vhd</t>
        </is>
      </c>
      <c r="R115" s="16" t="inlineStr">
        <is>
          <t>RTL</t>
        </is>
      </c>
      <c r="S115" s="16" t="inlineStr">
        <is>
          <t>NOT_RUN</t>
        </is>
      </c>
      <c r="T115" s="16" t="inlineStr"/>
      <c r="U115" s="16" t="inlineStr"/>
      <c r="V115" s="16" t="inlineStr"/>
      <c r="W115" s="16" t="inlineStr">
        <is>
          <t>NOT_RUN</t>
        </is>
      </c>
      <c r="X115" s="16" t="inlineStr"/>
      <c r="AA115" s="16" t="inlineStr"/>
      <c r="AB115" s="17">
        <f>IF(K115="WAIVED","WAIVED",IF(H115="","OPEN",IF(S115="BLOCKED","BLOCKED",IF(S115="FAIL","FAILING",IF(S115="PASS",IF(AA115&lt;&gt;"","AT_RISK",IF(AC115&lt;&gt;"","CLOSED","PASSING")),"COVERED")))))</f>
        <v/>
      </c>
      <c r="AC115" s="16" t="inlineStr"/>
      <c r="AD115" s="16" t="inlineStr"/>
      <c r="AE115" s="16" t="inlineStr"/>
      <c r="AF115" s="16" t="inlineStr">
        <is>
          <t>1.0.0</t>
        </is>
      </c>
      <c r="AG115" s="16" t="inlineStr">
        <is>
          <t>ZUBoard 1CG / Basys 3</t>
        </is>
      </c>
      <c r="AH115" s="16" t="inlineStr">
        <is>
          <t>BALU-RS-001 Rev 0.4</t>
        </is>
      </c>
    </row>
    <row r="116">
      <c r="A116" s="16" t="inlineStr">
        <is>
          <t>UART-REG-040</t>
        </is>
      </c>
      <c r="B116" s="16" t="inlineStr">
        <is>
          <t>REG</t>
        </is>
      </c>
      <c r="C116" s="16" t="inlineStr">
        <is>
          <t>structural</t>
        </is>
      </c>
      <c r="D116" s="16" t="inlineStr">
        <is>
          <t>The Buffered AXI-Lite UART shall assign INT_STATUS bit positions as: [7] TIMEOUT, [6] TX_THRESH, [5] RX_THRESH, [4] TX_EMPTY, [3] RX_FULL, [2] PARITY_ERR, [1] FRAME_ERR, [0] OVERRUN.</t>
        </is>
      </c>
      <c r="E116" s="16" t="inlineStr">
        <is>
          <t>BALU-RS-001</t>
        </is>
      </c>
      <c r="F116" s="16" t="inlineStr">
        <is>
          <t>§8.9</t>
        </is>
      </c>
      <c r="G116" s="16" t="inlineStr">
        <is>
          <t>test</t>
        </is>
      </c>
      <c r="H116" s="16" t="inlineStr">
        <is>
          <t>COV-007, COV-019</t>
        </is>
      </c>
      <c r="I116" s="16" t="inlineStr">
        <is>
          <t>Each of 8 interrupt sources set and cleared independently via directed stimulus; verify IRQ asserts and deasserts correctly for each bit.</t>
        </is>
      </c>
      <c r="J116" s="16" t="inlineStr"/>
      <c r="K116" s="16" t="inlineStr">
        <is>
          <t>GENERATED</t>
        </is>
      </c>
      <c r="L116" s="16" t="inlineStr"/>
      <c r="M116" s="16" t="inlineStr"/>
      <c r="N116" s="16" t="inlineStr">
        <is>
          <t>Structural</t>
        </is>
      </c>
      <c r="O116" s="16" t="inlineStr">
        <is>
          <t>ALL</t>
        </is>
      </c>
      <c r="P116" s="16" t="inlineStr"/>
      <c r="Q116" s="16" t="inlineStr">
        <is>
          <t>vhdl/buffered_axi_lite_uart.vhd</t>
        </is>
      </c>
      <c r="R116" s="16" t="inlineStr">
        <is>
          <t>RTL</t>
        </is>
      </c>
      <c r="S116" s="16" t="inlineStr">
        <is>
          <t>NOT_RUN</t>
        </is>
      </c>
      <c r="T116" s="16" t="inlineStr"/>
      <c r="U116" s="16" t="inlineStr"/>
      <c r="V116" s="16" t="inlineStr"/>
      <c r="W116" s="16" t="inlineStr">
        <is>
          <t>NOT_RUN</t>
        </is>
      </c>
      <c r="X116" s="16" t="inlineStr"/>
      <c r="AA116" s="16" t="inlineStr"/>
      <c r="AB116" s="17">
        <f>IF(K116="WAIVED","WAIVED",IF(H116="","OPEN",IF(S116="BLOCKED","BLOCKED",IF(S116="FAIL","FAILING",IF(S116="PASS",IF(AA116&lt;&gt;"","AT_RISK",IF(AC116&lt;&gt;"","CLOSED","PASSING")),"COVERED")))))</f>
        <v/>
      </c>
      <c r="AC116" s="16" t="inlineStr"/>
      <c r="AD116" s="16" t="inlineStr"/>
      <c r="AE116" s="16" t="inlineStr"/>
      <c r="AF116" s="16" t="inlineStr">
        <is>
          <t>1.0.0</t>
        </is>
      </c>
      <c r="AG116" s="16" t="inlineStr">
        <is>
          <t>ZUBoard 1CG / Basys 3</t>
        </is>
      </c>
      <c r="AH116" s="16" t="inlineStr">
        <is>
          <t>BALU-RS-001 Rev 0.4</t>
        </is>
      </c>
    </row>
    <row r="117">
      <c r="A117" s="16" t="inlineStr">
        <is>
          <t>UART-REG-041</t>
        </is>
      </c>
      <c r="B117" s="16" t="inlineStr">
        <is>
          <t>REG</t>
        </is>
      </c>
      <c r="C117" s="16" t="inlineStr">
        <is>
          <t>structural</t>
        </is>
      </c>
      <c r="D117" s="16" t="inlineStr">
        <is>
          <t>The Buffered AXI-Lite UART shall implement INT_CLEAR with W1C behavior per UART-INT-002 and UART-INT-004.</t>
        </is>
      </c>
      <c r="E117" s="16" t="inlineStr">
        <is>
          <t>BALU-RS-001</t>
        </is>
      </c>
      <c r="F117" s="16" t="inlineStr">
        <is>
          <t>§8.10</t>
        </is>
      </c>
      <c r="G117" s="16" t="inlineStr">
        <is>
          <t>test</t>
        </is>
      </c>
      <c r="H117" s="16" t="inlineStr">
        <is>
          <t>COV-019</t>
        </is>
      </c>
      <c r="I117" s="16" t="inlineStr">
        <is>
          <t>Drive TX_THRESH and RX_THRESH interrupt conditions, inject FRAME_ERR via stop-bit corruption, enable TIMEOUT interrupt; verify each INT_STATUS bit controlled by INT_ENABLE gate.</t>
        </is>
      </c>
      <c r="J117" s="16" t="inlineStr"/>
      <c r="K117" s="16" t="inlineStr">
        <is>
          <t>GENERATED</t>
        </is>
      </c>
      <c r="L117" s="16" t="inlineStr"/>
      <c r="M117" s="16" t="inlineStr"/>
      <c r="N117" s="16" t="inlineStr">
        <is>
          <t>Structural</t>
        </is>
      </c>
      <c r="O117" s="16" t="inlineStr">
        <is>
          <t>ALL</t>
        </is>
      </c>
      <c r="P117" s="16" t="inlineStr"/>
      <c r="Q117" s="16" t="inlineStr">
        <is>
          <t>vhdl/buffered_axi_lite_uart.vhd</t>
        </is>
      </c>
      <c r="R117" s="16" t="inlineStr">
        <is>
          <t>RTL</t>
        </is>
      </c>
      <c r="S117" s="16" t="inlineStr">
        <is>
          <t>NOT_RUN</t>
        </is>
      </c>
      <c r="T117" s="16" t="inlineStr"/>
      <c r="U117" s="16" t="inlineStr"/>
      <c r="V117" s="16" t="inlineStr"/>
      <c r="W117" s="16" t="inlineStr">
        <is>
          <t>NOT_RUN</t>
        </is>
      </c>
      <c r="X117" s="16" t="inlineStr"/>
      <c r="AA117" s="16" t="inlineStr"/>
      <c r="AB117" s="17">
        <f>IF(K117="WAIVED","WAIVED",IF(H117="","OPEN",IF(S117="BLOCKED","BLOCKED",IF(S117="FAIL","FAILING",IF(S117="PASS",IF(AA117&lt;&gt;"","AT_RISK",IF(AC117&lt;&gt;"","CLOSED","PASSING")),"COVERED")))))</f>
        <v/>
      </c>
      <c r="AC117" s="16" t="inlineStr"/>
      <c r="AD117" s="16" t="inlineStr"/>
      <c r="AE117" s="16" t="inlineStr"/>
      <c r="AF117" s="16" t="inlineStr">
        <is>
          <t>1.0.0</t>
        </is>
      </c>
      <c r="AG117" s="16" t="inlineStr">
        <is>
          <t>ZUBoard 1CG / Basys 3</t>
        </is>
      </c>
      <c r="AH117" s="16" t="inlineStr">
        <is>
          <t>BALU-RS-001 Rev 0.4</t>
        </is>
      </c>
    </row>
    <row r="118">
      <c r="A118" s="16" t="inlineStr">
        <is>
          <t>UART-REG-042</t>
        </is>
      </c>
      <c r="B118" s="16" t="inlineStr">
        <is>
          <t>REG</t>
        </is>
      </c>
      <c r="C118" s="16" t="inlineStr">
        <is>
          <t>structural</t>
        </is>
      </c>
      <c r="D118" s="16" t="inlineStr">
        <is>
          <t>The Buffered AXI-Lite UART shall return zero from INT_CLEAR on all reads per UART-INT-005.</t>
        </is>
      </c>
      <c r="E118" s="16" t="inlineStr">
        <is>
          <t>BALU-RS-001</t>
        </is>
      </c>
      <c r="F118" s="16" t="inlineStr">
        <is>
          <t>§8.10</t>
        </is>
      </c>
      <c r="G118" s="16" t="inlineStr">
        <is>
          <t>test</t>
        </is>
      </c>
      <c r="H118" s="16" t="inlineStr">
        <is>
          <t>COV-018, COV-019</t>
        </is>
      </c>
      <c r="I118" s="16" t="inlineStr">
        <is>
          <t>Write to each read-only register (STATUS, FIFO_STATUS, INT_STATUS, INT_CLEAR, TX_DATA reads, RX_DATA writes); read back and verify state unchanged.</t>
        </is>
      </c>
      <c r="J118" s="16" t="inlineStr"/>
      <c r="K118" s="16" t="inlineStr">
        <is>
          <t>GENERATED</t>
        </is>
      </c>
      <c r="L118" s="16" t="inlineStr"/>
      <c r="M118" s="16" t="inlineStr"/>
      <c r="N118" s="16" t="inlineStr">
        <is>
          <t>Structural</t>
        </is>
      </c>
      <c r="O118" s="16" t="inlineStr">
        <is>
          <t>ALL</t>
        </is>
      </c>
      <c r="P118" s="16" t="inlineStr"/>
      <c r="Q118" s="16" t="inlineStr">
        <is>
          <t>vhdl/buffered_axi_lite_uart.vhd</t>
        </is>
      </c>
      <c r="R118" s="16" t="inlineStr">
        <is>
          <t>RTL</t>
        </is>
      </c>
      <c r="S118" s="16" t="inlineStr">
        <is>
          <t>NOT_RUN</t>
        </is>
      </c>
      <c r="T118" s="16" t="inlineStr"/>
      <c r="U118" s="16" t="inlineStr"/>
      <c r="V118" s="16" t="inlineStr"/>
      <c r="W118" s="16" t="inlineStr">
        <is>
          <t>NOT_RUN</t>
        </is>
      </c>
      <c r="X118" s="16" t="inlineStr"/>
      <c r="AA118" s="16" t="inlineStr"/>
      <c r="AB118" s="17">
        <f>IF(K118="WAIVED","WAIVED",IF(H118="","OPEN",IF(S118="BLOCKED","BLOCKED",IF(S118="FAIL","FAILING",IF(S118="PASS",IF(AA118&lt;&gt;"","AT_RISK",IF(AC118&lt;&gt;"","CLOSED","PASSING")),"COVERED")))))</f>
        <v/>
      </c>
      <c r="AC118" s="16" t="inlineStr"/>
      <c r="AD118" s="16" t="inlineStr"/>
      <c r="AE118" s="16" t="inlineStr"/>
      <c r="AF118" s="16" t="inlineStr">
        <is>
          <t>1.0.0</t>
        </is>
      </c>
      <c r="AG118" s="16" t="inlineStr">
        <is>
          <t>ZUBoard 1CG / Basys 3</t>
        </is>
      </c>
      <c r="AH118" s="16" t="inlineStr">
        <is>
          <t>BALU-RS-001 Rev 0.4</t>
        </is>
      </c>
    </row>
    <row r="119">
      <c r="A119" s="16" t="inlineStr">
        <is>
          <t>UART-REG-043</t>
        </is>
      </c>
      <c r="B119" s="16" t="inlineStr">
        <is>
          <t>REG</t>
        </is>
      </c>
      <c r="C119" s="16" t="inlineStr">
        <is>
          <t>structural</t>
        </is>
      </c>
      <c r="D119" s="16" t="inlineStr">
        <is>
          <t>The Buffered AXI-Lite UART shall align INT_CLEAR bit positions with INT_STATUS bit positions.</t>
        </is>
      </c>
      <c r="E119" s="16" t="inlineStr">
        <is>
          <t>BALU-RS-001</t>
        </is>
      </c>
      <c r="F119" s="16" t="inlineStr">
        <is>
          <t>§8.10</t>
        </is>
      </c>
      <c r="G119" s="16" t="inlineStr">
        <is>
          <t>test</t>
        </is>
      </c>
      <c r="H119" s="16" t="inlineStr">
        <is>
          <t>COV-019</t>
        </is>
      </c>
      <c r="I119" s="16" t="inlineStr">
        <is>
          <t>Drive TX_THRESH and RX_THRESH interrupt conditions, inject FRAME_ERR via stop-bit corruption, enable TIMEOUT interrupt; verify each INT_STATUS bit controlled by INT_ENABLE gate.</t>
        </is>
      </c>
      <c r="J119" s="16" t="inlineStr"/>
      <c r="K119" s="16" t="inlineStr">
        <is>
          <t>GENERATED</t>
        </is>
      </c>
      <c r="L119" s="16" t="inlineStr"/>
      <c r="M119" s="16" t="inlineStr"/>
      <c r="N119" s="16" t="inlineStr">
        <is>
          <t>Structural</t>
        </is>
      </c>
      <c r="O119" s="16" t="inlineStr">
        <is>
          <t>ALL</t>
        </is>
      </c>
      <c r="P119" s="16" t="inlineStr"/>
      <c r="Q119" s="16" t="inlineStr">
        <is>
          <t>vhdl/buffered_axi_lite_uart.vhd</t>
        </is>
      </c>
      <c r="R119" s="16" t="inlineStr">
        <is>
          <t>RTL</t>
        </is>
      </c>
      <c r="S119" s="16" t="inlineStr">
        <is>
          <t>NOT_RUN</t>
        </is>
      </c>
      <c r="T119" s="16" t="inlineStr"/>
      <c r="U119" s="16" t="inlineStr"/>
      <c r="V119" s="16" t="inlineStr"/>
      <c r="W119" s="16" t="inlineStr">
        <is>
          <t>NOT_RUN</t>
        </is>
      </c>
      <c r="X119" s="16" t="inlineStr"/>
      <c r="AA119" s="16" t="inlineStr"/>
      <c r="AB119" s="17">
        <f>IF(K119="WAIVED","WAIVED",IF(H119="","OPEN",IF(S119="BLOCKED","BLOCKED",IF(S119="FAIL","FAILING",IF(S119="PASS",IF(AA119&lt;&gt;"","AT_RISK",IF(AC119&lt;&gt;"","CLOSED","PASSING")),"COVERED")))))</f>
        <v/>
      </c>
      <c r="AC119" s="16" t="inlineStr"/>
      <c r="AD119" s="16" t="inlineStr"/>
      <c r="AE119" s="16" t="inlineStr"/>
      <c r="AF119" s="16" t="inlineStr">
        <is>
          <t>1.0.0</t>
        </is>
      </c>
      <c r="AG119" s="16" t="inlineStr">
        <is>
          <t>ZUBoard 1CG / Basys 3</t>
        </is>
      </c>
      <c r="AH119" s="16" t="inlineStr">
        <is>
          <t>BALU-RS-001 Rev 0.4</t>
        </is>
      </c>
    </row>
    <row r="120">
      <c r="A120" s="16" t="inlineStr">
        <is>
          <t>UART-REG-044</t>
        </is>
      </c>
      <c r="B120" s="16" t="inlineStr">
        <is>
          <t>REG</t>
        </is>
      </c>
      <c r="C120" s="16" t="inlineStr">
        <is>
          <t>structural</t>
        </is>
      </c>
      <c r="D120" s="16" t="inlineStr">
        <is>
          <t>The Buffered AXI-Lite UART shall implement SCRATCH[31:0] as a read-write register with no hardware function.</t>
        </is>
      </c>
      <c r="E120" s="16" t="inlineStr">
        <is>
          <t>BALU-RS-001</t>
        </is>
      </c>
      <c r="F120" s="16" t="inlineStr">
        <is>
          <t>§8.11</t>
        </is>
      </c>
      <c r="G120" s="16" t="inlineStr">
        <is>
          <t>test</t>
        </is>
      </c>
      <c r="H120" s="16" t="inlineStr">
        <is>
          <t>COV-014</t>
        </is>
      </c>
      <c r="I120" s="16" t="inlineStr">
        <is>
          <t>Write walking-ones (0x00000001 through 0x80000000), all-ones (0xFFFFFFFF), and all-zeros (0x00000000) to SCRATCH; read back and verify each value.</t>
        </is>
      </c>
      <c r="J120" s="16" t="inlineStr"/>
      <c r="K120" s="16" t="inlineStr">
        <is>
          <t>GENERATED</t>
        </is>
      </c>
      <c r="L120" s="16" t="inlineStr"/>
      <c r="M120" s="16" t="inlineStr"/>
      <c r="N120" s="16" t="inlineStr">
        <is>
          <t>Structural</t>
        </is>
      </c>
      <c r="O120" s="16" t="inlineStr">
        <is>
          <t>ALL</t>
        </is>
      </c>
      <c r="P120" s="16" t="inlineStr"/>
      <c r="Q120" s="16" t="inlineStr">
        <is>
          <t>vhdl/buffered_axi_lite_uart.vhd</t>
        </is>
      </c>
      <c r="R120" s="16" t="inlineStr">
        <is>
          <t>RTL</t>
        </is>
      </c>
      <c r="S120" s="16" t="inlineStr">
        <is>
          <t>NOT_RUN</t>
        </is>
      </c>
      <c r="T120" s="16" t="inlineStr"/>
      <c r="U120" s="16" t="inlineStr"/>
      <c r="V120" s="16" t="inlineStr"/>
      <c r="W120" s="16" t="inlineStr">
        <is>
          <t>NOT_RUN</t>
        </is>
      </c>
      <c r="X120" s="16" t="inlineStr"/>
      <c r="AA120" s="16" t="inlineStr"/>
      <c r="AB120" s="17">
        <f>IF(K120="WAIVED","WAIVED",IF(H120="","OPEN",IF(S120="BLOCKED","BLOCKED",IF(S120="FAIL","FAILING",IF(S120="PASS",IF(AA120&lt;&gt;"","AT_RISK",IF(AC120&lt;&gt;"","CLOSED","PASSING")),"COVERED")))))</f>
        <v/>
      </c>
      <c r="AC120" s="16" t="inlineStr"/>
      <c r="AD120" s="16" t="inlineStr"/>
      <c r="AE120" s="16" t="inlineStr"/>
      <c r="AF120" s="16" t="inlineStr">
        <is>
          <t>1.0.0</t>
        </is>
      </c>
      <c r="AG120" s="16" t="inlineStr">
        <is>
          <t>ZUBoard 1CG / Basys 3</t>
        </is>
      </c>
      <c r="AH120" s="16" t="inlineStr">
        <is>
          <t>BALU-RS-001 Rev 0.4</t>
        </is>
      </c>
    </row>
    <row r="121">
      <c r="A121" s="16" t="inlineStr">
        <is>
          <t>UART-REG-045</t>
        </is>
      </c>
      <c r="B121" s="16" t="inlineStr">
        <is>
          <t>REG</t>
        </is>
      </c>
      <c r="C121" s="16" t="inlineStr">
        <is>
          <t>structural</t>
        </is>
      </c>
      <c r="D121" s="16" t="inlineStr">
        <is>
          <t>The Buffered AXI-Lite UART shall retain any written 32-bit value in SCRATCH and return it unchanged on all subsequent reads until overwritten.</t>
        </is>
      </c>
      <c r="E121" s="16" t="inlineStr">
        <is>
          <t>BALU-RS-001</t>
        </is>
      </c>
      <c r="F121" s="16" t="inlineStr">
        <is>
          <t>§8.11</t>
        </is>
      </c>
      <c r="G121" s="16" t="inlineStr">
        <is>
          <t>test</t>
        </is>
      </c>
      <c r="H121" s="16" t="inlineStr">
        <is>
          <t>COV-014</t>
        </is>
      </c>
      <c r="I121" s="16" t="inlineStr">
        <is>
          <t>Write walking-ones (0x00000001 through 0x80000000), all-ones (0xFFFFFFFF), and all-zeros (0x00000000) to SCRATCH; read back and verify each value.</t>
        </is>
      </c>
      <c r="J121" s="16" t="inlineStr"/>
      <c r="K121" s="16" t="inlineStr">
        <is>
          <t>GENERATED</t>
        </is>
      </c>
      <c r="L121" s="16" t="inlineStr"/>
      <c r="M121" s="16" t="inlineStr"/>
      <c r="N121" s="16" t="inlineStr">
        <is>
          <t>Structural</t>
        </is>
      </c>
      <c r="O121" s="16" t="inlineStr">
        <is>
          <t>ALL</t>
        </is>
      </c>
      <c r="P121" s="16" t="inlineStr"/>
      <c r="Q121" s="16" t="inlineStr">
        <is>
          <t>vhdl/buffered_axi_lite_uart.vhd</t>
        </is>
      </c>
      <c r="R121" s="16" t="inlineStr">
        <is>
          <t>RTL</t>
        </is>
      </c>
      <c r="S121" s="16" t="inlineStr">
        <is>
          <t>NOT_RUN</t>
        </is>
      </c>
      <c r="T121" s="16" t="inlineStr"/>
      <c r="U121" s="16" t="inlineStr"/>
      <c r="V121" s="16" t="inlineStr"/>
      <c r="W121" s="16" t="inlineStr">
        <is>
          <t>NOT_RUN</t>
        </is>
      </c>
      <c r="X121" s="16" t="inlineStr"/>
      <c r="AA121" s="16" t="inlineStr"/>
      <c r="AB121" s="17">
        <f>IF(K121="WAIVED","WAIVED",IF(H121="","OPEN",IF(S121="BLOCKED","BLOCKED",IF(S121="FAIL","FAILING",IF(S121="PASS",IF(AA121&lt;&gt;"","AT_RISK",IF(AC121&lt;&gt;"","CLOSED","PASSING")),"COVERED")))))</f>
        <v/>
      </c>
      <c r="AC121" s="16" t="inlineStr"/>
      <c r="AD121" s="16" t="inlineStr"/>
      <c r="AE121" s="16" t="inlineStr"/>
      <c r="AF121" s="16" t="inlineStr">
        <is>
          <t>1.0.0</t>
        </is>
      </c>
      <c r="AG121" s="16" t="inlineStr">
        <is>
          <t>ZUBoard 1CG / Basys 3</t>
        </is>
      </c>
      <c r="AH121" s="16" t="inlineStr">
        <is>
          <t>BALU-RS-001 Rev 0.4</t>
        </is>
      </c>
    </row>
    <row r="122">
      <c r="A122" s="16" t="inlineStr">
        <is>
          <t>UART-REG-046</t>
        </is>
      </c>
      <c r="B122" s="16" t="inlineStr">
        <is>
          <t>REG</t>
        </is>
      </c>
      <c r="C122" s="16" t="inlineStr">
        <is>
          <t>structural</t>
        </is>
      </c>
      <c r="D122" s="16" t="inlineStr">
        <is>
          <t>The Buffered AXI-Lite UART shall reset SCRATCH to 0x00000000.</t>
        </is>
      </c>
      <c r="E122" s="16" t="inlineStr">
        <is>
          <t>BALU-RS-001</t>
        </is>
      </c>
      <c r="F122" s="16" t="inlineStr">
        <is>
          <t>§8.11</t>
        </is>
      </c>
      <c r="G122" s="16" t="inlineStr">
        <is>
          <t>test</t>
        </is>
      </c>
      <c r="H122" s="16" t="inlineStr">
        <is>
          <t>COV-014</t>
        </is>
      </c>
      <c r="I122" s="16" t="inlineStr">
        <is>
          <t>Write walking-ones (0x00000001 through 0x80000000), all-ones (0xFFFFFFFF), and all-zeros (0x00000000) to SCRATCH; read back and verify each value.</t>
        </is>
      </c>
      <c r="J122" s="16" t="inlineStr"/>
      <c r="K122" s="16" t="inlineStr">
        <is>
          <t>GENERATED</t>
        </is>
      </c>
      <c r="L122" s="16" t="inlineStr"/>
      <c r="M122" s="16" t="inlineStr"/>
      <c r="N122" s="16" t="inlineStr">
        <is>
          <t>Structural</t>
        </is>
      </c>
      <c r="O122" s="16" t="inlineStr">
        <is>
          <t>ALL</t>
        </is>
      </c>
      <c r="P122" s="16" t="inlineStr"/>
      <c r="Q122" s="16" t="inlineStr">
        <is>
          <t>vhdl/buffered_axi_lite_uart.vhd</t>
        </is>
      </c>
      <c r="R122" s="16" t="inlineStr">
        <is>
          <t>RTL</t>
        </is>
      </c>
      <c r="S122" s="16" t="inlineStr">
        <is>
          <t>NOT_RUN</t>
        </is>
      </c>
      <c r="T122" s="16" t="inlineStr"/>
      <c r="U122" s="16" t="inlineStr"/>
      <c r="V122" s="16" t="inlineStr"/>
      <c r="W122" s="16" t="inlineStr">
        <is>
          <t>NOT_RUN</t>
        </is>
      </c>
      <c r="X122" s="16" t="inlineStr"/>
      <c r="AA122" s="16" t="inlineStr"/>
      <c r="AB122" s="17">
        <f>IF(K122="WAIVED","WAIVED",IF(H122="","OPEN",IF(S122="BLOCKED","BLOCKED",IF(S122="FAIL","FAILING",IF(S122="PASS",IF(AA122&lt;&gt;"","AT_RISK",IF(AC122&lt;&gt;"","CLOSED","PASSING")),"COVERED")))))</f>
        <v/>
      </c>
      <c r="AC122" s="16" t="inlineStr"/>
      <c r="AD122" s="16" t="inlineStr"/>
      <c r="AE122" s="16" t="inlineStr"/>
      <c r="AF122" s="16" t="inlineStr">
        <is>
          <t>1.0.0</t>
        </is>
      </c>
      <c r="AG122" s="16" t="inlineStr">
        <is>
          <t>ZUBoard 1CG / Basys 3</t>
        </is>
      </c>
      <c r="AH122" s="16" t="inlineStr">
        <is>
          <t>BALU-RS-001 Rev 0.4</t>
        </is>
      </c>
    </row>
    <row r="123">
      <c r="A123" s="16" t="inlineStr">
        <is>
          <t>UART-REG-047</t>
        </is>
      </c>
      <c r="B123" s="16" t="inlineStr">
        <is>
          <t>REG</t>
        </is>
      </c>
      <c r="C123" s="16" t="inlineStr">
        <is>
          <t>structural</t>
        </is>
      </c>
      <c r="D123" s="16" t="inlineStr">
        <is>
          <t>The Buffered AXI-Lite UART shall enqueue a transmitted data byte in the TX FIFO when TX_DATA[7:0] is written.</t>
        </is>
      </c>
      <c r="E123" s="16" t="inlineStr">
        <is>
          <t>BALU-RS-001</t>
        </is>
      </c>
      <c r="F123" s="16" t="inlineStr">
        <is>
          <t>§8.12</t>
        </is>
      </c>
      <c r="G123" s="16" t="inlineStr">
        <is>
          <t>test</t>
        </is>
      </c>
      <c r="H123" s="16" t="inlineStr">
        <is>
          <t>COV-019</t>
        </is>
      </c>
      <c r="I123" s="16" t="inlineStr">
        <is>
          <t>Drive TX_THRESH and RX_THRESH interrupt conditions, inject FRAME_ERR via stop-bit corruption, enable TIMEOUT interrupt; verify each INT_STATUS bit controlled by INT_ENABLE gate.</t>
        </is>
      </c>
      <c r="J123" s="16" t="inlineStr"/>
      <c r="K123" s="16" t="inlineStr">
        <is>
          <t>GENERATED</t>
        </is>
      </c>
      <c r="L123" s="16" t="inlineStr"/>
      <c r="M123" s="16" t="inlineStr"/>
      <c r="N123" s="16" t="inlineStr">
        <is>
          <t>Structural</t>
        </is>
      </c>
      <c r="O123" s="16" t="inlineStr">
        <is>
          <t>ALL</t>
        </is>
      </c>
      <c r="P123" s="16" t="inlineStr"/>
      <c r="Q123" s="16" t="inlineStr">
        <is>
          <t>vhdl/buffered_axi_lite_uart.vhd</t>
        </is>
      </c>
      <c r="R123" s="16" t="inlineStr">
        <is>
          <t>RTL</t>
        </is>
      </c>
      <c r="S123" s="16" t="inlineStr">
        <is>
          <t>NOT_RUN</t>
        </is>
      </c>
      <c r="T123" s="16" t="inlineStr"/>
      <c r="U123" s="16" t="inlineStr"/>
      <c r="V123" s="16" t="inlineStr"/>
      <c r="W123" s="16" t="inlineStr">
        <is>
          <t>NOT_RUN</t>
        </is>
      </c>
      <c r="X123" s="16" t="inlineStr"/>
      <c r="AA123" s="16" t="inlineStr"/>
      <c r="AB123" s="17">
        <f>IF(K123="WAIVED","WAIVED",IF(H123="","OPEN",IF(S123="BLOCKED","BLOCKED",IF(S123="FAIL","FAILING",IF(S123="PASS",IF(AA123&lt;&gt;"","AT_RISK",IF(AC123&lt;&gt;"","CLOSED","PASSING")),"COVERED")))))</f>
        <v/>
      </c>
      <c r="AC123" s="16" t="inlineStr"/>
      <c r="AD123" s="16" t="inlineStr"/>
      <c r="AE123" s="16" t="inlineStr"/>
      <c r="AF123" s="16" t="inlineStr">
        <is>
          <t>1.0.0</t>
        </is>
      </c>
      <c r="AG123" s="16" t="inlineStr">
        <is>
          <t>ZUBoard 1CG / Basys 3</t>
        </is>
      </c>
      <c r="AH123" s="16" t="inlineStr">
        <is>
          <t>BALU-RS-001 Rev 0.4</t>
        </is>
      </c>
    </row>
    <row r="124">
      <c r="A124" s="16" t="inlineStr">
        <is>
          <t>UART-REG-048</t>
        </is>
      </c>
      <c r="B124" s="16" t="inlineStr">
        <is>
          <t>REG</t>
        </is>
      </c>
      <c r="C124" s="16" t="inlineStr">
        <is>
          <t>structural</t>
        </is>
      </c>
      <c r="D124" s="16" t="inlineStr">
        <is>
          <t>The Buffered AXI-Lite UART shall silently ignore a write to TX_DATA while TX_FULL is asserted per UART-FIFO-006.</t>
        </is>
      </c>
      <c r="E124" s="16" t="inlineStr">
        <is>
          <t>BALU-RS-001</t>
        </is>
      </c>
      <c r="F124" s="16" t="inlineStr">
        <is>
          <t>§8.12</t>
        </is>
      </c>
      <c r="G124" s="16" t="inlineStr">
        <is>
          <t>test</t>
        </is>
      </c>
      <c r="H124" s="16" t="inlineStr">
        <is>
          <t>COV-019</t>
        </is>
      </c>
      <c r="I124" s="16" t="inlineStr">
        <is>
          <t>Drive TX_THRESH and RX_THRESH interrupt conditions, inject FRAME_ERR via stop-bit corruption, enable TIMEOUT interrupt; verify each INT_STATUS bit controlled by INT_ENABLE gate.</t>
        </is>
      </c>
      <c r="J124" s="16" t="inlineStr"/>
      <c r="K124" s="16" t="inlineStr">
        <is>
          <t>GENERATED</t>
        </is>
      </c>
      <c r="L124" s="16" t="inlineStr"/>
      <c r="M124" s="16" t="inlineStr"/>
      <c r="N124" s="16" t="inlineStr">
        <is>
          <t>Structural</t>
        </is>
      </c>
      <c r="O124" s="16" t="inlineStr">
        <is>
          <t>ALL</t>
        </is>
      </c>
      <c r="P124" s="16" t="inlineStr"/>
      <c r="Q124" s="16" t="inlineStr">
        <is>
          <t>vhdl/buffered_axi_lite_uart.vhd</t>
        </is>
      </c>
      <c r="R124" s="16" t="inlineStr">
        <is>
          <t>RTL</t>
        </is>
      </c>
      <c r="S124" s="16" t="inlineStr">
        <is>
          <t>NOT_RUN</t>
        </is>
      </c>
      <c r="T124" s="16" t="inlineStr"/>
      <c r="U124" s="16" t="inlineStr"/>
      <c r="V124" s="16" t="inlineStr"/>
      <c r="W124" s="16" t="inlineStr">
        <is>
          <t>NOT_RUN</t>
        </is>
      </c>
      <c r="X124" s="16" t="inlineStr"/>
      <c r="AA124" s="16" t="inlineStr"/>
      <c r="AB124" s="17">
        <f>IF(K124="WAIVED","WAIVED",IF(H124="","OPEN",IF(S124="BLOCKED","BLOCKED",IF(S124="FAIL","FAILING",IF(S124="PASS",IF(AA124&lt;&gt;"","AT_RISK",IF(AC124&lt;&gt;"","CLOSED","PASSING")),"COVERED")))))</f>
        <v/>
      </c>
      <c r="AC124" s="16" t="inlineStr"/>
      <c r="AD124" s="16" t="inlineStr"/>
      <c r="AE124" s="16" t="inlineStr"/>
      <c r="AF124" s="16" t="inlineStr">
        <is>
          <t>1.0.0</t>
        </is>
      </c>
      <c r="AG124" s="16" t="inlineStr">
        <is>
          <t>ZUBoard 1CG / Basys 3</t>
        </is>
      </c>
      <c r="AH124" s="16" t="inlineStr">
        <is>
          <t>BALU-RS-001 Rev 0.4</t>
        </is>
      </c>
    </row>
    <row r="125">
      <c r="A125" s="16" t="inlineStr">
        <is>
          <t>UART-REG-049</t>
        </is>
      </c>
      <c r="B125" s="16" t="inlineStr">
        <is>
          <t>REG</t>
        </is>
      </c>
      <c r="C125" s="16" t="inlineStr">
        <is>
          <t>structural</t>
        </is>
      </c>
      <c r="D125" s="16" t="inlineStr">
        <is>
          <t>The Buffered AXI-Lite UART shall implement TX_DATA as a write-only register, returning 0x00000000 on reads.</t>
        </is>
      </c>
      <c r="E125" s="16" t="inlineStr">
        <is>
          <t>BALU-RS-001</t>
        </is>
      </c>
      <c r="F125" s="16" t="inlineStr">
        <is>
          <t>§8.12</t>
        </is>
      </c>
      <c r="G125" s="16" t="inlineStr">
        <is>
          <t>test</t>
        </is>
      </c>
      <c r="H125" s="16" t="inlineStr">
        <is>
          <t>COV-018</t>
        </is>
      </c>
      <c r="I125" s="16" t="inlineStr">
        <is>
          <t>Write to each read-only register (STATUS, FIFO_STATUS, INT_STATUS, INT_CLEAR, TX_DATA reads, RX_DATA writes); read back and verify state unchanged.</t>
        </is>
      </c>
      <c r="J125" s="16" t="inlineStr"/>
      <c r="K125" s="16" t="inlineStr">
        <is>
          <t>GENERATED</t>
        </is>
      </c>
      <c r="L125" s="16" t="inlineStr"/>
      <c r="M125" s="16" t="inlineStr"/>
      <c r="N125" s="16" t="inlineStr">
        <is>
          <t>Structural</t>
        </is>
      </c>
      <c r="O125" s="16" t="inlineStr">
        <is>
          <t>ALL</t>
        </is>
      </c>
      <c r="P125" s="16" t="inlineStr"/>
      <c r="Q125" s="16" t="inlineStr">
        <is>
          <t>vhdl/buffered_axi_lite_uart.vhd</t>
        </is>
      </c>
      <c r="R125" s="16" t="inlineStr">
        <is>
          <t>RTL</t>
        </is>
      </c>
      <c r="S125" s="16" t="inlineStr">
        <is>
          <t>NOT_RUN</t>
        </is>
      </c>
      <c r="T125" s="16" t="inlineStr"/>
      <c r="U125" s="16" t="inlineStr"/>
      <c r="V125" s="16" t="inlineStr"/>
      <c r="W125" s="16" t="inlineStr">
        <is>
          <t>NOT_RUN</t>
        </is>
      </c>
      <c r="X125" s="16" t="inlineStr"/>
      <c r="AA125" s="16" t="inlineStr"/>
      <c r="AB125" s="17">
        <f>IF(K125="WAIVED","WAIVED",IF(H125="","OPEN",IF(S125="BLOCKED","BLOCKED",IF(S125="FAIL","FAILING",IF(S125="PASS",IF(AA125&lt;&gt;"","AT_RISK",IF(AC125&lt;&gt;"","CLOSED","PASSING")),"COVERED")))))</f>
        <v/>
      </c>
      <c r="AC125" s="16" t="inlineStr"/>
      <c r="AD125" s="16" t="inlineStr"/>
      <c r="AE125" s="16" t="inlineStr"/>
      <c r="AF125" s="16" t="inlineStr">
        <is>
          <t>1.0.0</t>
        </is>
      </c>
      <c r="AG125" s="16" t="inlineStr">
        <is>
          <t>ZUBoard 1CG / Basys 3</t>
        </is>
      </c>
      <c r="AH125" s="16" t="inlineStr">
        <is>
          <t>BALU-RS-001 Rev 0.4</t>
        </is>
      </c>
    </row>
    <row r="126">
      <c r="A126" s="16" t="inlineStr">
        <is>
          <t>UART-REG-050</t>
        </is>
      </c>
      <c r="B126" s="16" t="inlineStr">
        <is>
          <t>REG</t>
        </is>
      </c>
      <c r="C126" s="16" t="inlineStr">
        <is>
          <t>structural</t>
        </is>
      </c>
      <c r="D126" s="16" t="inlineStr">
        <is>
          <t>The Buffered AXI-Lite UART shall return the oldest byte in the RX FIFO and dequeue it when RX_DATA is read.</t>
        </is>
      </c>
      <c r="E126" s="16" t="inlineStr">
        <is>
          <t>BALU-RS-001</t>
        </is>
      </c>
      <c r="F126" s="16" t="inlineStr">
        <is>
          <t>§8.13</t>
        </is>
      </c>
      <c r="G126" s="16" t="inlineStr">
        <is>
          <t>test</t>
        </is>
      </c>
      <c r="H126" s="16" t="inlineStr">
        <is>
          <t>COV-019</t>
        </is>
      </c>
      <c r="I126" s="16" t="inlineStr">
        <is>
          <t>Drive TX_THRESH and RX_THRESH interrupt conditions, inject FRAME_ERR via stop-bit corruption, enable TIMEOUT interrupt; verify each INT_STATUS bit controlled by INT_ENABLE gate.</t>
        </is>
      </c>
      <c r="J126" s="16" t="inlineStr"/>
      <c r="K126" s="16" t="inlineStr">
        <is>
          <t>GENERATED</t>
        </is>
      </c>
      <c r="L126" s="16" t="inlineStr"/>
      <c r="M126" s="16" t="inlineStr"/>
      <c r="N126" s="16" t="inlineStr">
        <is>
          <t>Structural</t>
        </is>
      </c>
      <c r="O126" s="16" t="inlineStr">
        <is>
          <t>ALL</t>
        </is>
      </c>
      <c r="P126" s="16" t="inlineStr"/>
      <c r="Q126" s="16" t="inlineStr">
        <is>
          <t>vhdl/buffered_axi_lite_uart.vhd</t>
        </is>
      </c>
      <c r="R126" s="16" t="inlineStr">
        <is>
          <t>RTL</t>
        </is>
      </c>
      <c r="S126" s="16" t="inlineStr">
        <is>
          <t>NOT_RUN</t>
        </is>
      </c>
      <c r="T126" s="16" t="inlineStr"/>
      <c r="U126" s="16" t="inlineStr"/>
      <c r="V126" s="16" t="inlineStr"/>
      <c r="W126" s="16" t="inlineStr">
        <is>
          <t>NOT_RUN</t>
        </is>
      </c>
      <c r="X126" s="16" t="inlineStr"/>
      <c r="AA126" s="16" t="inlineStr"/>
      <c r="AB126" s="17">
        <f>IF(K126="WAIVED","WAIVED",IF(H126="","OPEN",IF(S126="BLOCKED","BLOCKED",IF(S126="FAIL","FAILING",IF(S126="PASS",IF(AA126&lt;&gt;"","AT_RISK",IF(AC126&lt;&gt;"","CLOSED","PASSING")),"COVERED")))))</f>
        <v/>
      </c>
      <c r="AC126" s="16" t="inlineStr"/>
      <c r="AD126" s="16" t="inlineStr"/>
      <c r="AE126" s="16" t="inlineStr"/>
      <c r="AF126" s="16" t="inlineStr">
        <is>
          <t>1.0.0</t>
        </is>
      </c>
      <c r="AG126" s="16" t="inlineStr">
        <is>
          <t>ZUBoard 1CG / Basys 3</t>
        </is>
      </c>
      <c r="AH126" s="16" t="inlineStr">
        <is>
          <t>BALU-RS-001 Rev 0.4</t>
        </is>
      </c>
    </row>
    <row r="127">
      <c r="A127" s="16" t="inlineStr">
        <is>
          <t>UART-REG-051</t>
        </is>
      </c>
      <c r="B127" s="16" t="inlineStr">
        <is>
          <t>REG</t>
        </is>
      </c>
      <c r="C127" s="16" t="inlineStr">
        <is>
          <t>structural</t>
        </is>
      </c>
      <c r="D127" s="16" t="inlineStr">
        <is>
          <t>The Buffered AXI-Lite UART shall treat the value returned by RX_DATA as undefined when RX_EMPTY is asserted. Software shall verify RX_EMPTY is deasserted before reading RX_DATA.</t>
        </is>
      </c>
      <c r="E127" s="16" t="inlineStr">
        <is>
          <t>BALU-RS-001</t>
        </is>
      </c>
      <c r="F127" s="16" t="inlineStr">
        <is>
          <t>§8.13</t>
        </is>
      </c>
      <c r="G127" s="16" t="inlineStr">
        <is>
          <t>test</t>
        </is>
      </c>
      <c r="H127" s="16" t="inlineStr">
        <is>
          <t>COV-019</t>
        </is>
      </c>
      <c r="I127" s="16" t="inlineStr">
        <is>
          <t>Drive TX_THRESH and RX_THRESH interrupt conditions, inject FRAME_ERR via stop-bit corruption, enable TIMEOUT interrupt; verify each INT_STATUS bit controlled by INT_ENABLE gate.</t>
        </is>
      </c>
      <c r="J127" s="16" t="inlineStr"/>
      <c r="K127" s="16" t="inlineStr">
        <is>
          <t>GENERATED</t>
        </is>
      </c>
      <c r="L127" s="16" t="inlineStr"/>
      <c r="M127" s="16" t="inlineStr"/>
      <c r="N127" s="16" t="inlineStr">
        <is>
          <t>Structural</t>
        </is>
      </c>
      <c r="O127" s="16" t="inlineStr">
        <is>
          <t>ALL</t>
        </is>
      </c>
      <c r="P127" s="16" t="inlineStr"/>
      <c r="Q127" s="16" t="inlineStr">
        <is>
          <t>vhdl/buffered_axi_lite_uart.vhd</t>
        </is>
      </c>
      <c r="R127" s="16" t="inlineStr">
        <is>
          <t>RTL</t>
        </is>
      </c>
      <c r="S127" s="16" t="inlineStr">
        <is>
          <t>NOT_RUN</t>
        </is>
      </c>
      <c r="T127" s="16" t="inlineStr"/>
      <c r="U127" s="16" t="inlineStr"/>
      <c r="V127" s="16" t="inlineStr"/>
      <c r="W127" s="16" t="inlineStr">
        <is>
          <t>NOT_RUN</t>
        </is>
      </c>
      <c r="X127" s="16" t="inlineStr"/>
      <c r="AA127" s="16" t="inlineStr"/>
      <c r="AB127" s="17">
        <f>IF(K127="WAIVED","WAIVED",IF(H127="","OPEN",IF(S127="BLOCKED","BLOCKED",IF(S127="FAIL","FAILING",IF(S127="PASS",IF(AA127&lt;&gt;"","AT_RISK",IF(AC127&lt;&gt;"","CLOSED","PASSING")),"COVERED")))))</f>
        <v/>
      </c>
      <c r="AC127" s="16" t="inlineStr"/>
      <c r="AD127" s="16" t="inlineStr"/>
      <c r="AE127" s="16" t="inlineStr"/>
      <c r="AF127" s="16" t="inlineStr">
        <is>
          <t>1.0.0</t>
        </is>
      </c>
      <c r="AG127" s="16" t="inlineStr">
        <is>
          <t>ZUBoard 1CG / Basys 3</t>
        </is>
      </c>
      <c r="AH127" s="16" t="inlineStr">
        <is>
          <t>BALU-RS-001 Rev 0.4</t>
        </is>
      </c>
    </row>
    <row r="128">
      <c r="A128" s="16" t="inlineStr">
        <is>
          <t>UART-REG-052</t>
        </is>
      </c>
      <c r="B128" s="16" t="inlineStr">
        <is>
          <t>REG</t>
        </is>
      </c>
      <c r="C128" s="16" t="inlineStr">
        <is>
          <t>structural</t>
        </is>
      </c>
      <c r="D128" s="16" t="inlineStr">
        <is>
          <t>The Buffered AXI-Lite UART shall implement RX_DATA as a read-only register, silently ignoring writes.</t>
        </is>
      </c>
      <c r="E128" s="16" t="inlineStr">
        <is>
          <t>BALU-RS-001</t>
        </is>
      </c>
      <c r="F128" s="16" t="inlineStr">
        <is>
          <t>§8.13</t>
        </is>
      </c>
      <c r="G128" s="16" t="inlineStr">
        <is>
          <t>test</t>
        </is>
      </c>
      <c r="H128" s="16" t="inlineStr">
        <is>
          <t>COV-018</t>
        </is>
      </c>
      <c r="I128" s="16" t="inlineStr">
        <is>
          <t>Write to each read-only register (STATUS, FIFO_STATUS, INT_STATUS, INT_CLEAR, TX_DATA reads, RX_DATA writes); read back and verify state unchanged.</t>
        </is>
      </c>
      <c r="J128" s="16" t="inlineStr"/>
      <c r="K128" s="16" t="inlineStr">
        <is>
          <t>GENERATED</t>
        </is>
      </c>
      <c r="L128" s="16" t="inlineStr"/>
      <c r="M128" s="16" t="inlineStr"/>
      <c r="N128" s="16" t="inlineStr">
        <is>
          <t>Structural</t>
        </is>
      </c>
      <c r="O128" s="16" t="inlineStr">
        <is>
          <t>ALL</t>
        </is>
      </c>
      <c r="P128" s="16" t="inlineStr"/>
      <c r="Q128" s="16" t="inlineStr">
        <is>
          <t>vhdl/buffered_axi_lite_uart.vhd</t>
        </is>
      </c>
      <c r="R128" s="16" t="inlineStr">
        <is>
          <t>RTL</t>
        </is>
      </c>
      <c r="S128" s="16" t="inlineStr">
        <is>
          <t>NOT_RUN</t>
        </is>
      </c>
      <c r="T128" s="16" t="inlineStr"/>
      <c r="U128" s="16" t="inlineStr"/>
      <c r="V128" s="16" t="inlineStr"/>
      <c r="W128" s="16" t="inlineStr">
        <is>
          <t>NOT_RUN</t>
        </is>
      </c>
      <c r="X128" s="16" t="inlineStr"/>
      <c r="AA128" s="16" t="inlineStr"/>
      <c r="AB128" s="17">
        <f>IF(K128="WAIVED","WAIVED",IF(H128="","OPEN",IF(S128="BLOCKED","BLOCKED",IF(S128="FAIL","FAILING",IF(S128="PASS",IF(AA128&lt;&gt;"","AT_RISK",IF(AC128&lt;&gt;"","CLOSED","PASSING")),"COVERED")))))</f>
        <v/>
      </c>
      <c r="AC128" s="16" t="inlineStr"/>
      <c r="AD128" s="16" t="inlineStr"/>
      <c r="AE128" s="16" t="inlineStr"/>
      <c r="AF128" s="16" t="inlineStr">
        <is>
          <t>1.0.0</t>
        </is>
      </c>
      <c r="AG128" s="16" t="inlineStr">
        <is>
          <t>ZUBoard 1CG / Basys 3</t>
        </is>
      </c>
      <c r="AH128" s="16" t="inlineStr">
        <is>
          <t>BALU-RS-001 Rev 0.4</t>
        </is>
      </c>
    </row>
    <row r="129">
      <c r="A129" s="16" t="inlineStr">
        <is>
          <t>UART-RST-001</t>
        </is>
      </c>
      <c r="B129" s="16" t="inlineStr">
        <is>
          <t>RST</t>
        </is>
      </c>
      <c r="C129" s="16" t="inlineStr">
        <is>
          <t>functional</t>
        </is>
      </c>
      <c r="D129" s="16" t="inlineStr">
        <is>
          <t>The Buffered AXI-Lite UART shall implement a synchronous active-high reset input.</t>
        </is>
      </c>
      <c r="E129" s="16" t="inlineStr">
        <is>
          <t>BALU-RS-001</t>
        </is>
      </c>
      <c r="F129" s="16" t="inlineStr">
        <is>
          <t>§9</t>
        </is>
      </c>
      <c r="G129" s="16" t="inlineStr">
        <is>
          <t>inspection</t>
        </is>
      </c>
      <c r="H129" s="16" t="inlineStr">
        <is>
          <t>COV-015</t>
        </is>
      </c>
      <c r="I129" s="16" t="inlineStr">
        <is>
          <t>Assert then deassert reset; read all 12 registers and compare each field to the reset value specified in Table 8-x.</t>
        </is>
      </c>
      <c r="J129" s="16" t="inlineStr"/>
      <c r="K129" s="16" t="inlineStr">
        <is>
          <t>GENERATED</t>
        </is>
      </c>
      <c r="L129" s="16" t="inlineStr"/>
      <c r="M129" s="16" t="inlineStr"/>
      <c r="N129" s="16" t="inlineStr">
        <is>
          <t>Reset</t>
        </is>
      </c>
      <c r="O129" s="16" t="inlineStr">
        <is>
          <t>ALL</t>
        </is>
      </c>
      <c r="P129" s="16" t="inlineStr"/>
      <c r="Q129" s="16" t="inlineStr">
        <is>
          <t>vhdl/buffered_axi_lite_uart.vhd</t>
        </is>
      </c>
      <c r="R129" s="16" t="inlineStr">
        <is>
          <t>RTL</t>
        </is>
      </c>
      <c r="S129" s="16" t="inlineStr">
        <is>
          <t>NOT_RUN</t>
        </is>
      </c>
      <c r="T129" s="16" t="inlineStr"/>
      <c r="U129" s="16" t="inlineStr"/>
      <c r="V129" s="16" t="inlineStr"/>
      <c r="W129" s="16" t="inlineStr">
        <is>
          <t>NOT_RUN</t>
        </is>
      </c>
      <c r="X129" s="16" t="inlineStr"/>
      <c r="AA129" s="16" t="inlineStr"/>
      <c r="AB129" s="17">
        <f>IF(K129="WAIVED","WAIVED",IF(H129="","OPEN",IF(S129="BLOCKED","BLOCKED",IF(S129="FAIL","FAILING",IF(S129="PASS",IF(AA129&lt;&gt;"","AT_RISK",IF(AC129&lt;&gt;"","CLOSED","PASSING")),"COVERED")))))</f>
        <v/>
      </c>
      <c r="AC129" s="16" t="inlineStr"/>
      <c r="AD129" s="16" t="inlineStr"/>
      <c r="AE129" s="16" t="inlineStr"/>
      <c r="AF129" s="16" t="inlineStr">
        <is>
          <t>1.0.0</t>
        </is>
      </c>
      <c r="AG129" s="16" t="inlineStr">
        <is>
          <t>ZUBoard 1CG / Basys 3</t>
        </is>
      </c>
      <c r="AH129" s="16" t="inlineStr">
        <is>
          <t>BALU-RS-001 Rev 0.4</t>
        </is>
      </c>
    </row>
    <row r="130">
      <c r="A130" s="16" t="inlineStr">
        <is>
          <t>UART-RST-002</t>
        </is>
      </c>
      <c r="B130" s="16" t="inlineStr">
        <is>
          <t>RST</t>
        </is>
      </c>
      <c r="C130" s="16" t="inlineStr">
        <is>
          <t>functional</t>
        </is>
      </c>
      <c r="D130" s="16" t="inlineStr">
        <is>
          <t>The Buffered AXI-Lite UART shall return all registers to their defined reset values on assertion of reset as specified in Section 8.</t>
        </is>
      </c>
      <c r="E130" s="16" t="inlineStr">
        <is>
          <t>BALU-RS-001</t>
        </is>
      </c>
      <c r="F130" s="16" t="inlineStr">
        <is>
          <t>§9</t>
        </is>
      </c>
      <c r="G130" s="16" t="inlineStr">
        <is>
          <t>test</t>
        </is>
      </c>
      <c r="H130" s="16" t="inlineStr">
        <is>
          <t>COV-015</t>
        </is>
      </c>
      <c r="I130" s="16" t="inlineStr">
        <is>
          <t>Assert then deassert reset; read all 12 registers and compare each field to the reset value specified in Table 8-x.</t>
        </is>
      </c>
      <c r="J130" s="16" t="inlineStr"/>
      <c r="K130" s="16" t="inlineStr">
        <is>
          <t>GENERATED</t>
        </is>
      </c>
      <c r="L130" s="16" t="inlineStr"/>
      <c r="M130" s="16" t="inlineStr"/>
      <c r="N130" s="16" t="inlineStr">
        <is>
          <t>Reset</t>
        </is>
      </c>
      <c r="O130" s="16" t="inlineStr">
        <is>
          <t>ALL</t>
        </is>
      </c>
      <c r="P130" s="16" t="inlineStr"/>
      <c r="Q130" s="16" t="inlineStr">
        <is>
          <t>vhdl/buffered_axi_lite_uart.vhd</t>
        </is>
      </c>
      <c r="R130" s="16" t="inlineStr">
        <is>
          <t>RTL</t>
        </is>
      </c>
      <c r="S130" s="16" t="inlineStr">
        <is>
          <t>NOT_RUN</t>
        </is>
      </c>
      <c r="T130" s="16" t="inlineStr"/>
      <c r="U130" s="16" t="inlineStr"/>
      <c r="V130" s="16" t="inlineStr"/>
      <c r="W130" s="16" t="inlineStr">
        <is>
          <t>NOT_RUN</t>
        </is>
      </c>
      <c r="X130" s="16" t="inlineStr"/>
      <c r="AA130" s="16" t="inlineStr"/>
      <c r="AB130" s="17">
        <f>IF(K130="WAIVED","WAIVED",IF(H130="","OPEN",IF(S130="BLOCKED","BLOCKED",IF(S130="FAIL","FAILING",IF(S130="PASS",IF(AA130&lt;&gt;"","AT_RISK",IF(AC130&lt;&gt;"","CLOSED","PASSING")),"COVERED")))))</f>
        <v/>
      </c>
      <c r="AC130" s="16" t="inlineStr"/>
      <c r="AD130" s="16" t="inlineStr"/>
      <c r="AE130" s="16" t="inlineStr"/>
      <c r="AF130" s="16" t="inlineStr">
        <is>
          <t>1.0.0</t>
        </is>
      </c>
      <c r="AG130" s="16" t="inlineStr">
        <is>
          <t>ZUBoard 1CG / Basys 3</t>
        </is>
      </c>
      <c r="AH130" s="16" t="inlineStr">
        <is>
          <t>BALU-RS-001 Rev 0.4</t>
        </is>
      </c>
    </row>
    <row r="131">
      <c r="A131" s="16" t="inlineStr">
        <is>
          <t>UART-RST-003</t>
        </is>
      </c>
      <c r="B131" s="16" t="inlineStr">
        <is>
          <t>RST</t>
        </is>
      </c>
      <c r="C131" s="16" t="inlineStr">
        <is>
          <t>functional</t>
        </is>
      </c>
      <c r="D131" s="16" t="inlineStr">
        <is>
          <t>The Buffered AXI-Lite UART shall clear both FIFOs to empty on assertion of reset.</t>
        </is>
      </c>
      <c r="E131" s="16" t="inlineStr">
        <is>
          <t>BALU-RS-001</t>
        </is>
      </c>
      <c r="F131" s="16" t="inlineStr">
        <is>
          <t>§9</t>
        </is>
      </c>
      <c r="G131" s="16" t="inlineStr">
        <is>
          <t>test</t>
        </is>
      </c>
      <c r="H131" s="16" t="inlineStr">
        <is>
          <t>COV-015</t>
        </is>
      </c>
      <c r="I131" s="16" t="inlineStr">
        <is>
          <t>Assert then deassert reset; read all 12 registers and compare each field to the reset value specified in Table 8-x.</t>
        </is>
      </c>
      <c r="J131" s="16" t="inlineStr"/>
      <c r="K131" s="16" t="inlineStr">
        <is>
          <t>GENERATED</t>
        </is>
      </c>
      <c r="L131" s="16" t="inlineStr"/>
      <c r="M131" s="16" t="inlineStr"/>
      <c r="N131" s="16" t="inlineStr">
        <is>
          <t>Reset</t>
        </is>
      </c>
      <c r="O131" s="16" t="inlineStr">
        <is>
          <t>ALL</t>
        </is>
      </c>
      <c r="P131" s="16" t="inlineStr"/>
      <c r="Q131" s="16" t="inlineStr">
        <is>
          <t>vhdl/buffered_axi_lite_uart.vhd</t>
        </is>
      </c>
      <c r="R131" s="16" t="inlineStr">
        <is>
          <t>RTL</t>
        </is>
      </c>
      <c r="S131" s="16" t="inlineStr">
        <is>
          <t>NOT_RUN</t>
        </is>
      </c>
      <c r="T131" s="16" t="inlineStr"/>
      <c r="U131" s="16" t="inlineStr"/>
      <c r="V131" s="16" t="inlineStr"/>
      <c r="W131" s="16" t="inlineStr">
        <is>
          <t>NOT_RUN</t>
        </is>
      </c>
      <c r="X131" s="16" t="inlineStr"/>
      <c r="AA131" s="16" t="inlineStr"/>
      <c r="AB131" s="17">
        <f>IF(K131="WAIVED","WAIVED",IF(H131="","OPEN",IF(S131="BLOCKED","BLOCKED",IF(S131="FAIL","FAILING",IF(S131="PASS",IF(AA131&lt;&gt;"","AT_RISK",IF(AC131&lt;&gt;"","CLOSED","PASSING")),"COVERED")))))</f>
        <v/>
      </c>
      <c r="AC131" s="16" t="inlineStr"/>
      <c r="AD131" s="16" t="inlineStr"/>
      <c r="AE131" s="16" t="inlineStr"/>
      <c r="AF131" s="16" t="inlineStr">
        <is>
          <t>1.0.0</t>
        </is>
      </c>
      <c r="AG131" s="16" t="inlineStr">
        <is>
          <t>ZUBoard 1CG / Basys 3</t>
        </is>
      </c>
      <c r="AH131" s="16" t="inlineStr">
        <is>
          <t>BALU-RS-001 Rev 0.4</t>
        </is>
      </c>
    </row>
    <row r="132">
      <c r="A132" s="16" t="inlineStr">
        <is>
          <t>UART-RST-004</t>
        </is>
      </c>
      <c r="B132" s="16" t="inlineStr">
        <is>
          <t>RST</t>
        </is>
      </c>
      <c r="C132" s="16" t="inlineStr">
        <is>
          <t>functional</t>
        </is>
      </c>
      <c r="D132" s="16" t="inlineStr">
        <is>
          <t>The Buffered AXI-Lite UART shall clear the NCO accumulator to zero on assertion of reset.</t>
        </is>
      </c>
      <c r="E132" s="16" t="inlineStr">
        <is>
          <t>BALU-RS-001</t>
        </is>
      </c>
      <c r="F132" s="16" t="inlineStr">
        <is>
          <t>§9</t>
        </is>
      </c>
      <c r="G132" s="16" t="inlineStr">
        <is>
          <t>test</t>
        </is>
      </c>
      <c r="H132" s="16" t="inlineStr">
        <is>
          <t>COV-015</t>
        </is>
      </c>
      <c r="I132" s="16" t="inlineStr">
        <is>
          <t>Assert then deassert reset; read all 12 registers and compare each field to the reset value specified in Table 8-x.</t>
        </is>
      </c>
      <c r="J132" s="16" t="inlineStr"/>
      <c r="K132" s="16" t="inlineStr">
        <is>
          <t>GENERATED</t>
        </is>
      </c>
      <c r="L132" s="16" t="inlineStr"/>
      <c r="M132" s="16" t="inlineStr"/>
      <c r="N132" s="16" t="inlineStr">
        <is>
          <t>Reset</t>
        </is>
      </c>
      <c r="O132" s="16" t="inlineStr">
        <is>
          <t>ALL</t>
        </is>
      </c>
      <c r="P132" s="16" t="inlineStr"/>
      <c r="Q132" s="16" t="inlineStr">
        <is>
          <t>vhdl/buffered_axi_lite_uart.vhd</t>
        </is>
      </c>
      <c r="R132" s="16" t="inlineStr">
        <is>
          <t>RTL</t>
        </is>
      </c>
      <c r="S132" s="16" t="inlineStr">
        <is>
          <t>NOT_RUN</t>
        </is>
      </c>
      <c r="T132" s="16" t="inlineStr"/>
      <c r="U132" s="16" t="inlineStr"/>
      <c r="V132" s="16" t="inlineStr"/>
      <c r="W132" s="16" t="inlineStr">
        <is>
          <t>NOT_RUN</t>
        </is>
      </c>
      <c r="X132" s="16" t="inlineStr"/>
      <c r="AA132" s="16" t="inlineStr"/>
      <c r="AB132" s="17">
        <f>IF(K132="WAIVED","WAIVED",IF(H132="","OPEN",IF(S132="BLOCKED","BLOCKED",IF(S132="FAIL","FAILING",IF(S132="PASS",IF(AA132&lt;&gt;"","AT_RISK",IF(AC132&lt;&gt;"","CLOSED","PASSING")),"COVERED")))))</f>
        <v/>
      </c>
      <c r="AC132" s="16" t="inlineStr"/>
      <c r="AD132" s="16" t="inlineStr"/>
      <c r="AE132" s="16" t="inlineStr"/>
      <c r="AF132" s="16" t="inlineStr">
        <is>
          <t>1.0.0</t>
        </is>
      </c>
      <c r="AG132" s="16" t="inlineStr">
        <is>
          <t>ZUBoard 1CG / Basys 3</t>
        </is>
      </c>
      <c r="AH132" s="16" t="inlineStr">
        <is>
          <t>BALU-RS-001 Rev 0.4</t>
        </is>
      </c>
    </row>
    <row r="133">
      <c r="A133" s="16" t="inlineStr">
        <is>
          <t>UART-RST-005</t>
        </is>
      </c>
      <c r="B133" s="16" t="inlineStr">
        <is>
          <t>RST</t>
        </is>
      </c>
      <c r="C133" s="16" t="inlineStr">
        <is>
          <t>functional</t>
        </is>
      </c>
      <c r="D133" s="16" t="inlineStr">
        <is>
          <t>The Buffered AXI-Lite UART shall deassert the IRQ output on assertion of reset.</t>
        </is>
      </c>
      <c r="E133" s="16" t="inlineStr">
        <is>
          <t>BALU-RS-001</t>
        </is>
      </c>
      <c r="F133" s="16" t="inlineStr">
        <is>
          <t>§9</t>
        </is>
      </c>
      <c r="G133" s="16" t="inlineStr">
        <is>
          <t>test</t>
        </is>
      </c>
      <c r="H133" s="16" t="inlineStr">
        <is>
          <t>COV-015</t>
        </is>
      </c>
      <c r="I133" s="16" t="inlineStr">
        <is>
          <t>Assert then deassert reset; read all 12 registers and compare each field to the reset value specified in Table 8-x.</t>
        </is>
      </c>
      <c r="J133" s="16" t="inlineStr"/>
      <c r="K133" s="16" t="inlineStr">
        <is>
          <t>GENERATED</t>
        </is>
      </c>
      <c r="L133" s="16" t="inlineStr"/>
      <c r="M133" s="16" t="inlineStr"/>
      <c r="N133" s="16" t="inlineStr">
        <is>
          <t>Reset</t>
        </is>
      </c>
      <c r="O133" s="16" t="inlineStr">
        <is>
          <t>ALL</t>
        </is>
      </c>
      <c r="P133" s="16" t="inlineStr"/>
      <c r="Q133" s="16" t="inlineStr">
        <is>
          <t>vhdl/buffered_axi_lite_uart.vhd</t>
        </is>
      </c>
      <c r="R133" s="16" t="inlineStr">
        <is>
          <t>RTL</t>
        </is>
      </c>
      <c r="S133" s="16" t="inlineStr">
        <is>
          <t>NOT_RUN</t>
        </is>
      </c>
      <c r="T133" s="16" t="inlineStr"/>
      <c r="U133" s="16" t="inlineStr"/>
      <c r="V133" s="16" t="inlineStr"/>
      <c r="W133" s="16" t="inlineStr">
        <is>
          <t>NOT_RUN</t>
        </is>
      </c>
      <c r="X133" s="16" t="inlineStr"/>
      <c r="AA133" s="16" t="inlineStr"/>
      <c r="AB133" s="17">
        <f>IF(K133="WAIVED","WAIVED",IF(H133="","OPEN",IF(S133="BLOCKED","BLOCKED",IF(S133="FAIL","FAILING",IF(S133="PASS",IF(AA133&lt;&gt;"","AT_RISK",IF(AC133&lt;&gt;"","CLOSED","PASSING")),"COVERED")))))</f>
        <v/>
      </c>
      <c r="AC133" s="16" t="inlineStr"/>
      <c r="AD133" s="16" t="inlineStr"/>
      <c r="AE133" s="16" t="inlineStr"/>
      <c r="AF133" s="16" t="inlineStr">
        <is>
          <t>1.0.0</t>
        </is>
      </c>
      <c r="AG133" s="16" t="inlineStr">
        <is>
          <t>ZUBoard 1CG / Basys 3</t>
        </is>
      </c>
      <c r="AH133" s="16" t="inlineStr">
        <is>
          <t>BALU-RS-001 Rev 0.4</t>
        </is>
      </c>
    </row>
    <row r="134">
      <c r="A134" s="16" t="inlineStr">
        <is>
          <t>UART-RST-006</t>
        </is>
      </c>
      <c r="B134" s="16" t="inlineStr">
        <is>
          <t>RST</t>
        </is>
      </c>
      <c r="C134" s="16" t="inlineStr">
        <is>
          <t>functional</t>
        </is>
      </c>
      <c r="D134" s="16" t="inlineStr">
        <is>
          <t>The Buffered AXI-Lite UART shall reset BAUD_TUNING to C_BAUD_TUNING_RESET per UART-BR-003.</t>
        </is>
      </c>
      <c r="E134" s="16" t="inlineStr">
        <is>
          <t>BALU-RS-001</t>
        </is>
      </c>
      <c r="F134" s="16" t="inlineStr">
        <is>
          <t>§9</t>
        </is>
      </c>
      <c r="G134" s="16" t="inlineStr">
        <is>
          <t>test</t>
        </is>
      </c>
      <c r="H134" s="16" t="inlineStr">
        <is>
          <t>COV-015</t>
        </is>
      </c>
      <c r="I134" s="16" t="inlineStr">
        <is>
          <t>Assert then deassert reset; read all 12 registers and compare each field to the reset value specified in Table 8-x.</t>
        </is>
      </c>
      <c r="J134" s="16" t="inlineStr"/>
      <c r="K134" s="16" t="inlineStr">
        <is>
          <t>GENERATED</t>
        </is>
      </c>
      <c r="L134" s="16" t="inlineStr"/>
      <c r="M134" s="16" t="inlineStr"/>
      <c r="N134" s="16" t="inlineStr">
        <is>
          <t>Reset</t>
        </is>
      </c>
      <c r="O134" s="16" t="inlineStr">
        <is>
          <t>ALL</t>
        </is>
      </c>
      <c r="P134" s="16" t="inlineStr"/>
      <c r="Q134" s="16" t="inlineStr">
        <is>
          <t>vhdl/buffered_axi_lite_uart.vhd</t>
        </is>
      </c>
      <c r="R134" s="16" t="inlineStr">
        <is>
          <t>RTL</t>
        </is>
      </c>
      <c r="S134" s="16" t="inlineStr">
        <is>
          <t>NOT_RUN</t>
        </is>
      </c>
      <c r="T134" s="16" t="inlineStr"/>
      <c r="U134" s="16" t="inlineStr"/>
      <c r="V134" s="16" t="inlineStr"/>
      <c r="W134" s="16" t="inlineStr">
        <is>
          <t>NOT_RUN</t>
        </is>
      </c>
      <c r="X134" s="16" t="inlineStr"/>
      <c r="AA134" s="16" t="inlineStr"/>
      <c r="AB134" s="17">
        <f>IF(K134="WAIVED","WAIVED",IF(H134="","OPEN",IF(S134="BLOCKED","BLOCKED",IF(S134="FAIL","FAILING",IF(S134="PASS",IF(AA134&lt;&gt;"","AT_RISK",IF(AC134&lt;&gt;"","CLOSED","PASSING")),"COVERED")))))</f>
        <v/>
      </c>
      <c r="AC134" s="16" t="inlineStr"/>
      <c r="AD134" s="16" t="inlineStr"/>
      <c r="AE134" s="16" t="inlineStr"/>
      <c r="AF134" s="16" t="inlineStr">
        <is>
          <t>1.0.0</t>
        </is>
      </c>
      <c r="AG134" s="16" t="inlineStr">
        <is>
          <t>ZUBoard 1CG / Basys 3</t>
        </is>
      </c>
      <c r="AH134" s="16" t="inlineStr">
        <is>
          <t>BALU-RS-001 Rev 0.4</t>
        </is>
      </c>
    </row>
    <row r="135">
      <c r="A135" s="16" t="inlineStr">
        <is>
          <t>UART-VER-001</t>
        </is>
      </c>
      <c r="B135" s="16" t="inlineStr">
        <is>
          <t>VER</t>
        </is>
      </c>
      <c r="C135" s="16" t="inlineStr">
        <is>
          <t>infrastructure</t>
        </is>
      </c>
      <c r="D135" s="16" t="inlineStr">
        <is>
          <t>UVM RAL model for all 12 registers</t>
        </is>
      </c>
      <c r="E135" s="16" t="inlineStr">
        <is>
          <t>BALU-RS-001</t>
        </is>
      </c>
      <c r="F135" s="16" t="inlineStr">
        <is>
          <t>§11</t>
        </is>
      </c>
      <c r="G135" s="16" t="inlineStr">
        <is>
          <t>inspection</t>
        </is>
      </c>
      <c r="H135" s="16" t="inlineStr"/>
      <c r="I135" s="16" t="inlineStr"/>
      <c r="J135" s="16" t="inlineStr"/>
      <c r="K135" s="16" t="inlineStr">
        <is>
          <t>WAIVED</t>
        </is>
      </c>
      <c r="L135" s="16" t="inlineStr">
        <is>
          <t>Verification infrastructure requirement. Describes the UVM RAL model artifact, not a testable behavior. Closed by inspection when the RAL model is committed.</t>
        </is>
      </c>
      <c r="M135" s="16" t="inlineStr">
        <is>
          <t>LOW</t>
        </is>
      </c>
      <c r="N135" s="16" t="inlineStr">
        <is>
          <t>Infrastructure</t>
        </is>
      </c>
      <c r="O135" s="16" t="inlineStr">
        <is>
          <t>ALL</t>
        </is>
      </c>
      <c r="P135" s="16" t="inlineStr"/>
      <c r="Q135" s="16" t="inlineStr">
        <is>
          <t>vhdl/buffered_axi_lite_uart.vhd</t>
        </is>
      </c>
      <c r="R135" s="16" t="inlineStr">
        <is>
          <t>RTL</t>
        </is>
      </c>
      <c r="S135" s="16" t="inlineStr">
        <is>
          <t>NOT_RUN</t>
        </is>
      </c>
      <c r="T135" s="16" t="inlineStr"/>
      <c r="U135" s="16" t="inlineStr"/>
      <c r="V135" s="16" t="inlineStr"/>
      <c r="W135" s="16" t="inlineStr">
        <is>
          <t>NOT_RUN</t>
        </is>
      </c>
      <c r="X135" s="16" t="inlineStr"/>
      <c r="AA135" s="16" t="inlineStr"/>
      <c r="AB135" s="17">
        <f>IF(K135="WAIVED","WAIVED",IF(H135="","OPEN",IF(S135="BLOCKED","BLOCKED",IF(S135="FAIL","FAILING",IF(S135="PASS",IF(AA135&lt;&gt;"","AT_RISK",IF(AC135&lt;&gt;"","CLOSED","PASSING")),"COVERED")))))</f>
        <v/>
      </c>
      <c r="AC135" s="16" t="inlineStr"/>
      <c r="AD135" s="16" t="inlineStr"/>
      <c r="AE135" s="16" t="inlineStr"/>
      <c r="AF135" s="16" t="inlineStr">
        <is>
          <t>1.0.0</t>
        </is>
      </c>
      <c r="AG135" s="16" t="inlineStr">
        <is>
          <t>ZUBoard 1CG / Basys 3</t>
        </is>
      </c>
      <c r="AH135" s="16" t="inlineStr">
        <is>
          <t>BALU-RS-001 Rev 0.4</t>
        </is>
      </c>
    </row>
    <row r="136">
      <c r="A136" s="16" t="inlineStr">
        <is>
          <t>UART-VER-002</t>
        </is>
      </c>
      <c r="B136" s="16" t="inlineStr">
        <is>
          <t>VER</t>
        </is>
      </c>
      <c r="C136" s="16" t="inlineStr">
        <is>
          <t>infrastructure</t>
        </is>
      </c>
      <c r="D136" s="16" t="inlineStr">
        <is>
          <t>Reset value test for all registers</t>
        </is>
      </c>
      <c r="E136" s="16" t="inlineStr">
        <is>
          <t>BALU-RS-001</t>
        </is>
      </c>
      <c r="F136" s="16" t="inlineStr">
        <is>
          <t>§11</t>
        </is>
      </c>
      <c r="G136" s="16" t="inlineStr">
        <is>
          <t>test</t>
        </is>
      </c>
      <c r="H136" s="16" t="inlineStr">
        <is>
          <t>COV-015</t>
        </is>
      </c>
      <c r="I136" s="16" t="inlineStr">
        <is>
          <t>Assert then deassert reset; read all 12 registers and compare each field to the reset value specified in Table 8-x.</t>
        </is>
      </c>
      <c r="J136" s="16" t="inlineStr"/>
      <c r="K136" s="16" t="inlineStr">
        <is>
          <t>GENERATED</t>
        </is>
      </c>
      <c r="L136" s="16" t="inlineStr"/>
      <c r="M136" s="16" t="inlineStr"/>
      <c r="N136" s="16" t="inlineStr">
        <is>
          <t>Infrastructure</t>
        </is>
      </c>
      <c r="O136" s="16" t="inlineStr">
        <is>
          <t>ALL</t>
        </is>
      </c>
      <c r="P136" s="16" t="inlineStr"/>
      <c r="Q136" s="16" t="inlineStr">
        <is>
          <t>vhdl/buffered_axi_lite_uart.vhd</t>
        </is>
      </c>
      <c r="R136" s="16" t="inlineStr">
        <is>
          <t>RTL</t>
        </is>
      </c>
      <c r="S136" s="16" t="inlineStr">
        <is>
          <t>NOT_RUN</t>
        </is>
      </c>
      <c r="T136" s="16" t="inlineStr"/>
      <c r="U136" s="16" t="inlineStr"/>
      <c r="V136" s="16" t="inlineStr"/>
      <c r="W136" s="16" t="inlineStr">
        <is>
          <t>NOT_RUN</t>
        </is>
      </c>
      <c r="X136" s="16" t="inlineStr"/>
      <c r="AA136" s="16" t="inlineStr"/>
      <c r="AB136" s="17">
        <f>IF(K136="WAIVED","WAIVED",IF(H136="","OPEN",IF(S136="BLOCKED","BLOCKED",IF(S136="FAIL","FAILING",IF(S136="PASS",IF(AA136&lt;&gt;"","AT_RISK",IF(AC136&lt;&gt;"","CLOSED","PASSING")),"COVERED")))))</f>
        <v/>
      </c>
      <c r="AC136" s="16" t="inlineStr"/>
      <c r="AD136" s="16" t="inlineStr"/>
      <c r="AE136" s="16" t="inlineStr"/>
      <c r="AF136" s="16" t="inlineStr">
        <is>
          <t>1.0.0</t>
        </is>
      </c>
      <c r="AG136" s="16" t="inlineStr">
        <is>
          <t>ZUBoard 1CG / Basys 3</t>
        </is>
      </c>
      <c r="AH136" s="16" t="inlineStr">
        <is>
          <t>BALU-RS-001 Rev 0.4</t>
        </is>
      </c>
    </row>
    <row r="137">
      <c r="A137" s="16" t="inlineStr">
        <is>
          <t>UART-VER-003</t>
        </is>
      </c>
      <c r="B137" s="16" t="inlineStr">
        <is>
          <t>VER</t>
        </is>
      </c>
      <c r="C137" s="16" t="inlineStr">
        <is>
          <t>infrastructure</t>
        </is>
      </c>
      <c r="D137" s="16" t="inlineStr">
        <is>
          <t>SCRATCH walking-ones connectivity test</t>
        </is>
      </c>
      <c r="E137" s="16" t="inlineStr">
        <is>
          <t>BALU-RS-001</t>
        </is>
      </c>
      <c r="F137" s="16" t="inlineStr">
        <is>
          <t>§11</t>
        </is>
      </c>
      <c r="G137" s="16" t="inlineStr">
        <is>
          <t>test</t>
        </is>
      </c>
      <c r="H137" s="16" t="inlineStr">
        <is>
          <t>COV-014</t>
        </is>
      </c>
      <c r="I137" s="16" t="inlineStr">
        <is>
          <t>Write walking-ones (0x00000001 through 0x80000000), all-ones (0xFFFFFFFF), and all-zeros (0x00000000) to SCRATCH; read back and verify each value.</t>
        </is>
      </c>
      <c r="J137" s="16" t="inlineStr"/>
      <c r="K137" s="16" t="inlineStr">
        <is>
          <t>GENERATED</t>
        </is>
      </c>
      <c r="L137" s="16" t="inlineStr"/>
      <c r="M137" s="16" t="inlineStr"/>
      <c r="N137" s="16" t="inlineStr">
        <is>
          <t>Infrastructure</t>
        </is>
      </c>
      <c r="O137" s="16" t="inlineStr">
        <is>
          <t>ALL</t>
        </is>
      </c>
      <c r="P137" s="16" t="inlineStr"/>
      <c r="Q137" s="16" t="inlineStr">
        <is>
          <t>vhdl/buffered_axi_lite_uart.vhd</t>
        </is>
      </c>
      <c r="R137" s="16" t="inlineStr">
        <is>
          <t>RTL</t>
        </is>
      </c>
      <c r="S137" s="16" t="inlineStr">
        <is>
          <t>NOT_RUN</t>
        </is>
      </c>
      <c r="T137" s="16" t="inlineStr"/>
      <c r="U137" s="16" t="inlineStr"/>
      <c r="V137" s="16" t="inlineStr"/>
      <c r="W137" s="16" t="inlineStr">
        <is>
          <t>NOT_RUN</t>
        </is>
      </c>
      <c r="X137" s="16" t="inlineStr"/>
      <c r="AA137" s="16" t="inlineStr"/>
      <c r="AB137" s="17">
        <f>IF(K137="WAIVED","WAIVED",IF(H137="","OPEN",IF(S137="BLOCKED","BLOCKED",IF(S137="FAIL","FAILING",IF(S137="PASS",IF(AA137&lt;&gt;"","AT_RISK",IF(AC137&lt;&gt;"","CLOSED","PASSING")),"COVERED")))))</f>
        <v/>
      </c>
      <c r="AC137" s="16" t="inlineStr"/>
      <c r="AD137" s="16" t="inlineStr"/>
      <c r="AE137" s="16" t="inlineStr"/>
      <c r="AF137" s="16" t="inlineStr">
        <is>
          <t>1.0.0</t>
        </is>
      </c>
      <c r="AG137" s="16" t="inlineStr">
        <is>
          <t>ZUBoard 1CG / Basys 3</t>
        </is>
      </c>
      <c r="AH137" s="16" t="inlineStr">
        <is>
          <t>BALU-RS-001 Rev 0.4</t>
        </is>
      </c>
    </row>
    <row r="138">
      <c r="A138" s="16" t="inlineStr">
        <is>
          <t>UART-VER-004</t>
        </is>
      </c>
      <c r="B138" s="16" t="inlineStr">
        <is>
          <t>VER</t>
        </is>
      </c>
      <c r="C138" s="16" t="inlineStr">
        <is>
          <t>infrastructure</t>
        </is>
      </c>
      <c r="D138" s="16" t="inlineStr">
        <is>
          <t>All 8 interrupt sources independently</t>
        </is>
      </c>
      <c r="E138" s="16" t="inlineStr">
        <is>
          <t>BALU-RS-001</t>
        </is>
      </c>
      <c r="F138" s="16" t="inlineStr">
        <is>
          <t>§11</t>
        </is>
      </c>
      <c r="G138" s="16" t="inlineStr">
        <is>
          <t>test</t>
        </is>
      </c>
      <c r="H138" s="16" t="inlineStr">
        <is>
          <t>COV-007</t>
        </is>
      </c>
      <c r="I138" s="16" t="inlineStr">
        <is>
          <t>Each of 8 interrupt sources set and cleared independently via directed stimulus; verify IRQ asserts and deasserts correctly for each bit.</t>
        </is>
      </c>
      <c r="J138" s="16" t="inlineStr"/>
      <c r="K138" s="16" t="inlineStr">
        <is>
          <t>GENERATED</t>
        </is>
      </c>
      <c r="L138" s="16" t="inlineStr"/>
      <c r="M138" s="16" t="inlineStr"/>
      <c r="N138" s="16" t="inlineStr">
        <is>
          <t>Infrastructure</t>
        </is>
      </c>
      <c r="O138" s="16" t="inlineStr">
        <is>
          <t>ALL</t>
        </is>
      </c>
      <c r="P138" s="16" t="inlineStr"/>
      <c r="Q138" s="16" t="inlineStr">
        <is>
          <t>vhdl/buffered_axi_lite_uart.vhd</t>
        </is>
      </c>
      <c r="R138" s="16" t="inlineStr">
        <is>
          <t>RTL</t>
        </is>
      </c>
      <c r="S138" s="16" t="inlineStr">
        <is>
          <t>NOT_RUN</t>
        </is>
      </c>
      <c r="T138" s="16" t="inlineStr"/>
      <c r="U138" s="16" t="inlineStr"/>
      <c r="V138" s="16" t="inlineStr"/>
      <c r="W138" s="16" t="inlineStr">
        <is>
          <t>NOT_RUN</t>
        </is>
      </c>
      <c r="X138" s="16" t="inlineStr"/>
      <c r="AA138" s="16" t="inlineStr"/>
      <c r="AB138" s="17">
        <f>IF(K138="WAIVED","WAIVED",IF(H138="","OPEN",IF(S138="BLOCKED","BLOCKED",IF(S138="FAIL","FAILING",IF(S138="PASS",IF(AA138&lt;&gt;"","AT_RISK",IF(AC138&lt;&gt;"","CLOSED","PASSING")),"COVERED")))))</f>
        <v/>
      </c>
      <c r="AC138" s="16" t="inlineStr"/>
      <c r="AD138" s="16" t="inlineStr"/>
      <c r="AE138" s="16" t="inlineStr"/>
      <c r="AF138" s="16" t="inlineStr">
        <is>
          <t>1.0.0</t>
        </is>
      </c>
      <c r="AG138" s="16" t="inlineStr">
        <is>
          <t>ZUBoard 1CG / Basys 3</t>
        </is>
      </c>
      <c r="AH138" s="16" t="inlineStr">
        <is>
          <t>BALU-RS-001 Rev 0.4</t>
        </is>
      </c>
    </row>
    <row r="139">
      <c r="A139" s="16" t="inlineStr">
        <is>
          <t>UART-VER-005</t>
        </is>
      </c>
      <c r="B139" s="16" t="inlineStr">
        <is>
          <t>VER</t>
        </is>
      </c>
      <c r="C139" s="16" t="inlineStr">
        <is>
          <t>infrastructure</t>
        </is>
      </c>
      <c r="D139" s="16" t="inlineStr">
        <is>
          <t>OVERRUN + RX_FULL simultaneous</t>
        </is>
      </c>
      <c r="E139" s="16" t="inlineStr">
        <is>
          <t>BALU-RS-001</t>
        </is>
      </c>
      <c r="F139" s="16" t="inlineStr">
        <is>
          <t>§11</t>
        </is>
      </c>
      <c r="G139" s="16" t="inlineStr">
        <is>
          <t>test</t>
        </is>
      </c>
      <c r="H139" s="16" t="inlineStr">
        <is>
          <t>COV-008</t>
        </is>
      </c>
      <c r="I139" s="16" t="inlineStr">
        <is>
          <t>Fill RX FIFO to capacity then transmit additional byte to force overrun; verify overrun byte discarded and FIFO content unchanged.</t>
        </is>
      </c>
      <c r="J139" s="16" t="inlineStr"/>
      <c r="K139" s="16" t="inlineStr">
        <is>
          <t>GENERATED</t>
        </is>
      </c>
      <c r="L139" s="16" t="inlineStr"/>
      <c r="M139" s="16" t="inlineStr"/>
      <c r="N139" s="16" t="inlineStr">
        <is>
          <t>Infrastructure</t>
        </is>
      </c>
      <c r="O139" s="16" t="inlineStr">
        <is>
          <t>ALL</t>
        </is>
      </c>
      <c r="P139" s="16" t="inlineStr"/>
      <c r="Q139" s="16" t="inlineStr">
        <is>
          <t>vhdl/buffered_axi_lite_uart.vhd</t>
        </is>
      </c>
      <c r="R139" s="16" t="inlineStr">
        <is>
          <t>RTL</t>
        </is>
      </c>
      <c r="S139" s="16" t="inlineStr">
        <is>
          <t>NOT_RUN</t>
        </is>
      </c>
      <c r="T139" s="16" t="inlineStr"/>
      <c r="U139" s="16" t="inlineStr"/>
      <c r="V139" s="16" t="inlineStr"/>
      <c r="W139" s="16" t="inlineStr">
        <is>
          <t>NOT_RUN</t>
        </is>
      </c>
      <c r="X139" s="16" t="inlineStr"/>
      <c r="AA139" s="16" t="inlineStr"/>
      <c r="AB139" s="17">
        <f>IF(K139="WAIVED","WAIVED",IF(H139="","OPEN",IF(S139="BLOCKED","BLOCKED",IF(S139="FAIL","FAILING",IF(S139="PASS",IF(AA139&lt;&gt;"","AT_RISK",IF(AC139&lt;&gt;"","CLOSED","PASSING")),"COVERED")))))</f>
        <v/>
      </c>
      <c r="AC139" s="16" t="inlineStr"/>
      <c r="AD139" s="16" t="inlineStr"/>
      <c r="AE139" s="16" t="inlineStr"/>
      <c r="AF139" s="16" t="inlineStr">
        <is>
          <t>1.0.0</t>
        </is>
      </c>
      <c r="AG139" s="16" t="inlineStr">
        <is>
          <t>ZUBoard 1CG / Basys 3</t>
        </is>
      </c>
      <c r="AH139" s="16" t="inlineStr">
        <is>
          <t>BALU-RS-001 Rev 0.4</t>
        </is>
      </c>
    </row>
    <row r="140">
      <c r="A140" s="16" t="inlineStr">
        <is>
          <t>UART-VER-006</t>
        </is>
      </c>
      <c r="B140" s="16" t="inlineStr">
        <is>
          <t>VER</t>
        </is>
      </c>
      <c r="C140" s="16" t="inlineStr">
        <is>
          <t>infrastructure</t>
        </is>
      </c>
      <c r="D140" s="16" t="inlineStr">
        <is>
          <t>Both AXI write orderings exercised</t>
        </is>
      </c>
      <c r="E140" s="16" t="inlineStr">
        <is>
          <t>BALU-RS-001</t>
        </is>
      </c>
      <c r="F140" s="16" t="inlineStr">
        <is>
          <t>§11</t>
        </is>
      </c>
      <c r="G140" s="16" t="inlineStr">
        <is>
          <t>test</t>
        </is>
      </c>
      <c r="H140" s="16" t="inlineStr">
        <is>
          <t>COV-012</t>
        </is>
      </c>
      <c r="I140" s="16" t="inlineStr">
        <is>
          <t>Issue AXI write with AWVALID first then WVALID, then repeat with WVALID first then AWVALID; verify correct response in both orderings.</t>
        </is>
      </c>
      <c r="J140" s="16" t="inlineStr"/>
      <c r="K140" s="16" t="inlineStr">
        <is>
          <t>GENERATED</t>
        </is>
      </c>
      <c r="L140" s="16" t="inlineStr"/>
      <c r="M140" s="16" t="inlineStr"/>
      <c r="N140" s="16" t="inlineStr">
        <is>
          <t>Infrastructure</t>
        </is>
      </c>
      <c r="O140" s="16" t="inlineStr">
        <is>
          <t>ALL</t>
        </is>
      </c>
      <c r="P140" s="16" t="inlineStr"/>
      <c r="Q140" s="16" t="inlineStr">
        <is>
          <t>vhdl/buffered_axi_lite_uart.vhd</t>
        </is>
      </c>
      <c r="R140" s="16" t="inlineStr">
        <is>
          <t>RTL</t>
        </is>
      </c>
      <c r="S140" s="16" t="inlineStr">
        <is>
          <t>NOT_RUN</t>
        </is>
      </c>
      <c r="T140" s="16" t="inlineStr"/>
      <c r="U140" s="16" t="inlineStr"/>
      <c r="V140" s="16" t="inlineStr"/>
      <c r="W140" s="16" t="inlineStr">
        <is>
          <t>NOT_RUN</t>
        </is>
      </c>
      <c r="X140" s="16" t="inlineStr"/>
      <c r="AA140" s="16" t="inlineStr"/>
      <c r="AB140" s="17">
        <f>IF(K140="WAIVED","WAIVED",IF(H140="","OPEN",IF(S140="BLOCKED","BLOCKED",IF(S140="FAIL","FAILING",IF(S140="PASS",IF(AA140&lt;&gt;"","AT_RISK",IF(AC140&lt;&gt;"","CLOSED","PASSING")),"COVERED")))))</f>
        <v/>
      </c>
      <c r="AC140" s="16" t="inlineStr"/>
      <c r="AD140" s="16" t="inlineStr"/>
      <c r="AE140" s="16" t="inlineStr"/>
      <c r="AF140" s="16" t="inlineStr">
        <is>
          <t>1.0.0</t>
        </is>
      </c>
      <c r="AG140" s="16" t="inlineStr">
        <is>
          <t>ZUBoard 1CG / Basys 3</t>
        </is>
      </c>
      <c r="AH140" s="16" t="inlineStr">
        <is>
          <t>BALU-RS-001 Rev 0.4</t>
        </is>
      </c>
    </row>
    <row r="141">
      <c r="A141" s="16" t="inlineStr">
        <is>
          <t>UART-VER-007</t>
        </is>
      </c>
      <c r="B141" s="16" t="inlineStr">
        <is>
          <t>VER</t>
        </is>
      </c>
      <c r="C141" s="16" t="inlineStr">
        <is>
          <t>infrastructure</t>
        </is>
      </c>
      <c r="D141" s="16" t="inlineStr">
        <is>
          <t>BAUD_TUNING write while UART_EN=1</t>
        </is>
      </c>
      <c r="E141" s="16" t="inlineStr">
        <is>
          <t>BALU-RS-001</t>
        </is>
      </c>
      <c r="F141" s="16" t="inlineStr">
        <is>
          <t>§11</t>
        </is>
      </c>
      <c r="G141" s="16" t="inlineStr">
        <is>
          <t>test</t>
        </is>
      </c>
      <c r="H141" s="16" t="inlineStr">
        <is>
          <t>COV-013</t>
        </is>
      </c>
      <c r="I141" s="16" t="inlineStr">
        <is>
          <t>Assert UART_EN, write a new value to BAUD_TUNING, read back and verify original value unchanged; confirms silent-ignore while enabled.</t>
        </is>
      </c>
      <c r="J141" s="16" t="inlineStr"/>
      <c r="K141" s="16" t="inlineStr">
        <is>
          <t>GENERATED</t>
        </is>
      </c>
      <c r="L141" s="16" t="inlineStr"/>
      <c r="M141" s="16" t="inlineStr"/>
      <c r="N141" s="16" t="inlineStr">
        <is>
          <t>Infrastructure</t>
        </is>
      </c>
      <c r="O141" s="16" t="inlineStr">
        <is>
          <t>ALL</t>
        </is>
      </c>
      <c r="P141" s="16" t="inlineStr"/>
      <c r="Q141" s="16" t="inlineStr">
        <is>
          <t>vhdl/buffered_axi_lite_uart.vhd</t>
        </is>
      </c>
      <c r="R141" s="16" t="inlineStr">
        <is>
          <t>RTL</t>
        </is>
      </c>
      <c r="S141" s="16" t="inlineStr">
        <is>
          <t>NOT_RUN</t>
        </is>
      </c>
      <c r="T141" s="16" t="inlineStr"/>
      <c r="U141" s="16" t="inlineStr"/>
      <c r="V141" s="16" t="inlineStr"/>
      <c r="W141" s="16" t="inlineStr">
        <is>
          <t>NOT_RUN</t>
        </is>
      </c>
      <c r="X141" s="16" t="inlineStr"/>
      <c r="AA141" s="16" t="inlineStr"/>
      <c r="AB141" s="17">
        <f>IF(K141="WAIVED","WAIVED",IF(H141="","OPEN",IF(S141="BLOCKED","BLOCKED",IF(S141="FAIL","FAILING",IF(S141="PASS",IF(AA141&lt;&gt;"","AT_RISK",IF(AC141&lt;&gt;"","CLOSED","PASSING")),"COVERED")))))</f>
        <v/>
      </c>
      <c r="AC141" s="16" t="inlineStr"/>
      <c r="AD141" s="16" t="inlineStr"/>
      <c r="AE141" s="16" t="inlineStr"/>
      <c r="AF141" s="16" t="inlineStr">
        <is>
          <t>1.0.0</t>
        </is>
      </c>
      <c r="AG141" s="16" t="inlineStr">
        <is>
          <t>ZUBoard 1CG / Basys 3</t>
        </is>
      </c>
      <c r="AH141" s="16" t="inlineStr">
        <is>
          <t>BALU-RS-001 Rev 0.4</t>
        </is>
      </c>
    </row>
    <row r="142">
      <c r="A142" s="16" t="inlineStr">
        <is>
          <t>UART-VER-008</t>
        </is>
      </c>
      <c r="B142" s="16" t="inlineStr">
        <is>
          <t>VER</t>
        </is>
      </c>
      <c r="C142" s="16" t="inlineStr">
        <is>
          <t>infrastructure</t>
        </is>
      </c>
      <c r="D142" s="16" t="inlineStr">
        <is>
          <t>Timeout with three TIMEOUT_VAL settings</t>
        </is>
      </c>
      <c r="E142" s="16" t="inlineStr">
        <is>
          <t>BALU-RS-001</t>
        </is>
      </c>
      <c r="F142" s="16" t="inlineStr">
        <is>
          <t>§11</t>
        </is>
      </c>
      <c r="G142" s="16" t="inlineStr">
        <is>
          <t>test</t>
        </is>
      </c>
      <c r="H142" s="16" t="inlineStr">
        <is>
          <t>COV-006</t>
        </is>
      </c>
      <c r="I142" s="16" t="inlineStr">
        <is>
          <t>TIMEOUT_VAL set to 0x0000, 0x0001, G_TIMEOUT_DEFAULT, 0xFFFE, and 0xFFFF; idle receiver until timeout fires for each non-zero value.</t>
        </is>
      </c>
      <c r="J142" s="16" t="inlineStr"/>
      <c r="K142" s="16" t="inlineStr">
        <is>
          <t>GENERATED</t>
        </is>
      </c>
      <c r="L142" s="16" t="inlineStr"/>
      <c r="M142" s="16" t="inlineStr"/>
      <c r="N142" s="16" t="inlineStr">
        <is>
          <t>Infrastructure</t>
        </is>
      </c>
      <c r="O142" s="16" t="inlineStr">
        <is>
          <t>ALL</t>
        </is>
      </c>
      <c r="P142" s="16" t="inlineStr"/>
      <c r="Q142" s="16" t="inlineStr">
        <is>
          <t>vhdl/buffered_axi_lite_uart.vhd</t>
        </is>
      </c>
      <c r="R142" s="16" t="inlineStr">
        <is>
          <t>RTL</t>
        </is>
      </c>
      <c r="S142" s="16" t="inlineStr">
        <is>
          <t>NOT_RUN</t>
        </is>
      </c>
      <c r="T142" s="16" t="inlineStr"/>
      <c r="U142" s="16" t="inlineStr"/>
      <c r="V142" s="16" t="inlineStr"/>
      <c r="W142" s="16" t="inlineStr">
        <is>
          <t>NOT_RUN</t>
        </is>
      </c>
      <c r="X142" s="16" t="inlineStr"/>
      <c r="AA142" s="16" t="inlineStr"/>
      <c r="AB142" s="17">
        <f>IF(K142="WAIVED","WAIVED",IF(H142="","OPEN",IF(S142="BLOCKED","BLOCKED",IF(S142="FAIL","FAILING",IF(S142="PASS",IF(AA142&lt;&gt;"","AT_RISK",IF(AC142&lt;&gt;"","CLOSED","PASSING")),"COVERED")))))</f>
        <v/>
      </c>
      <c r="AC142" s="16" t="inlineStr"/>
      <c r="AD142" s="16" t="inlineStr"/>
      <c r="AE142" s="16" t="inlineStr"/>
      <c r="AF142" s="16" t="inlineStr">
        <is>
          <t>1.0.0</t>
        </is>
      </c>
      <c r="AG142" s="16" t="inlineStr">
        <is>
          <t>ZUBoard 1CG / Basys 3</t>
        </is>
      </c>
      <c r="AH142" s="16" t="inlineStr">
        <is>
          <t>BALU-RS-001 Rev 0.4</t>
        </is>
      </c>
    </row>
    <row r="143">
      <c r="A143" s="16" t="inlineStr">
        <is>
          <t>UART-VER-009</t>
        </is>
      </c>
      <c r="B143" s="16" t="inlineStr">
        <is>
          <t>VER</t>
        </is>
      </c>
      <c r="C143" s="16" t="inlineStr">
        <is>
          <t>infrastructure</t>
        </is>
      </c>
      <c r="D143" s="16" t="inlineStr">
        <is>
          <t>All parity modes in loopback</t>
        </is>
      </c>
      <c r="E143" s="16" t="inlineStr">
        <is>
          <t>BALU-RS-001</t>
        </is>
      </c>
      <c r="F143" s="16" t="inlineStr">
        <is>
          <t>§11</t>
        </is>
      </c>
      <c r="G143" s="16" t="inlineStr">
        <is>
          <t>test</t>
        </is>
      </c>
      <c r="H143" s="16" t="inlineStr">
        <is>
          <t>COV-002</t>
        </is>
      </c>
      <c r="I143" s="16" t="inlineStr">
        <is>
          <t>All four parity modes (00/01/10/11) exercised independently in LOOP_EN loopback; inject parity error bit for odd and even modes.</t>
        </is>
      </c>
      <c r="J143" s="16" t="inlineStr"/>
      <c r="K143" s="16" t="inlineStr">
        <is>
          <t>GENERATED</t>
        </is>
      </c>
      <c r="L143" s="16" t="inlineStr"/>
      <c r="M143" s="16" t="inlineStr"/>
      <c r="N143" s="16" t="inlineStr">
        <is>
          <t>Infrastructure</t>
        </is>
      </c>
      <c r="O143" s="16" t="inlineStr">
        <is>
          <t>ALL</t>
        </is>
      </c>
      <c r="P143" s="16" t="inlineStr"/>
      <c r="Q143" s="16" t="inlineStr">
        <is>
          <t>vhdl/buffered_axi_lite_uart.vhd</t>
        </is>
      </c>
      <c r="R143" s="16" t="inlineStr">
        <is>
          <t>RTL</t>
        </is>
      </c>
      <c r="S143" s="16" t="inlineStr">
        <is>
          <t>NOT_RUN</t>
        </is>
      </c>
      <c r="T143" s="16" t="inlineStr"/>
      <c r="U143" s="16" t="inlineStr"/>
      <c r="V143" s="16" t="inlineStr"/>
      <c r="W143" s="16" t="inlineStr">
        <is>
          <t>NOT_RUN</t>
        </is>
      </c>
      <c r="X143" s="16" t="inlineStr"/>
      <c r="AA143" s="16" t="inlineStr"/>
      <c r="AB143" s="17">
        <f>IF(K143="WAIVED","WAIVED",IF(H143="","OPEN",IF(S143="BLOCKED","BLOCKED",IF(S143="FAIL","FAILING",IF(S143="PASS",IF(AA143&lt;&gt;"","AT_RISK",IF(AC143&lt;&gt;"","CLOSED","PASSING")),"COVERED")))))</f>
        <v/>
      </c>
      <c r="AC143" s="16" t="inlineStr"/>
      <c r="AD143" s="16" t="inlineStr"/>
      <c r="AE143" s="16" t="inlineStr"/>
      <c r="AF143" s="16" t="inlineStr">
        <is>
          <t>1.0.0</t>
        </is>
      </c>
      <c r="AG143" s="16" t="inlineStr">
        <is>
          <t>ZUBoard 1CG / Basys 3</t>
        </is>
      </c>
      <c r="AH143" s="16" t="inlineStr">
        <is>
          <t>BALU-RS-001 Rev 0.4</t>
        </is>
      </c>
    </row>
    <row r="144">
      <c r="A144" s="16" t="inlineStr">
        <is>
          <t>UART-VER-010</t>
        </is>
      </c>
      <c r="B144" s="16" t="inlineStr">
        <is>
          <t>VER</t>
        </is>
      </c>
      <c r="C144" s="16" t="inlineStr">
        <is>
          <t>infrastructure</t>
        </is>
      </c>
      <c r="D144" s="16" t="inlineStr">
        <is>
          <t>RX overrun byte discard verified</t>
        </is>
      </c>
      <c r="E144" s="16" t="inlineStr">
        <is>
          <t>BALU-RS-001</t>
        </is>
      </c>
      <c r="F144" s="16" t="inlineStr">
        <is>
          <t>§11</t>
        </is>
      </c>
      <c r="G144" s="16" t="inlineStr">
        <is>
          <t>test</t>
        </is>
      </c>
      <c r="H144" s="16" t="inlineStr">
        <is>
          <t>COV-008</t>
        </is>
      </c>
      <c r="I144" s="16" t="inlineStr">
        <is>
          <t>Fill RX FIFO to capacity then transmit additional byte to force overrun; verify overrun byte discarded and FIFO content unchanged.</t>
        </is>
      </c>
      <c r="J144" s="16" t="inlineStr"/>
      <c r="K144" s="16" t="inlineStr">
        <is>
          <t>GENERATED</t>
        </is>
      </c>
      <c r="L144" s="16" t="inlineStr"/>
      <c r="M144" s="16" t="inlineStr"/>
      <c r="N144" s="16" t="inlineStr">
        <is>
          <t>Infrastructure</t>
        </is>
      </c>
      <c r="O144" s="16" t="inlineStr">
        <is>
          <t>ALL</t>
        </is>
      </c>
      <c r="P144" s="16" t="inlineStr"/>
      <c r="Q144" s="16" t="inlineStr">
        <is>
          <t>vhdl/buffered_axi_lite_uart.vhd</t>
        </is>
      </c>
      <c r="R144" s="16" t="inlineStr">
        <is>
          <t>RTL</t>
        </is>
      </c>
      <c r="S144" s="16" t="inlineStr">
        <is>
          <t>NOT_RUN</t>
        </is>
      </c>
      <c r="T144" s="16" t="inlineStr"/>
      <c r="U144" s="16" t="inlineStr"/>
      <c r="V144" s="16" t="inlineStr"/>
      <c r="W144" s="16" t="inlineStr">
        <is>
          <t>NOT_RUN</t>
        </is>
      </c>
      <c r="X144" s="16" t="inlineStr"/>
      <c r="AA144" s="16" t="inlineStr"/>
      <c r="AB144" s="17">
        <f>IF(K144="WAIVED","WAIVED",IF(H144="","OPEN",IF(S144="BLOCKED","BLOCKED",IF(S144="FAIL","FAILING",IF(S144="PASS",IF(AA144&lt;&gt;"","AT_RISK",IF(AC144&lt;&gt;"","CLOSED","PASSING")),"COVERED")))))</f>
        <v/>
      </c>
      <c r="AC144" s="16" t="inlineStr"/>
      <c r="AD144" s="16" t="inlineStr"/>
      <c r="AE144" s="16" t="inlineStr"/>
      <c r="AF144" s="16" t="inlineStr">
        <is>
          <t>1.0.0</t>
        </is>
      </c>
      <c r="AG144" s="16" t="inlineStr">
        <is>
          <t>ZUBoard 1CG / Basys 3</t>
        </is>
      </c>
      <c r="AH144" s="16" t="inlineStr">
        <is>
          <t>BALU-RS-001 Rev 0.4</t>
        </is>
      </c>
    </row>
  </sheetData>
  <mergeCells count="6">
    <mergeCell ref="AF1:AH1"/>
    <mergeCell ref="P1:R1"/>
    <mergeCell ref="G1:O1"/>
    <mergeCell ref="A1:F1"/>
    <mergeCell ref="S1:AA1"/>
    <mergeCell ref="AB1:AE1"/>
  </mergeCells>
  <conditionalFormatting sqref="A4:AH2000">
    <cfRule type="expression" priority="1" dxfId="4" stopIfTrue="0">
      <formula>$AB4="CLOSED"</formula>
    </cfRule>
    <cfRule type="expression" priority="2" dxfId="5" stopIfTrue="0">
      <formula>$AB4="PASSING"</formula>
    </cfRule>
    <cfRule type="expression" priority="3" dxfId="6" stopIfTrue="0">
      <formula>$AB4="AT_RISK"</formula>
    </cfRule>
    <cfRule type="expression" priority="4" dxfId="7" stopIfTrue="0">
      <formula>$AB4="FAILING"</formula>
    </cfRule>
    <cfRule type="expression" priority="5" dxfId="8" stopIfTrue="0">
      <formula>$AB4="WAIVED"</formula>
    </cfRule>
  </conditionalFormatting>
  <dataValidations count="9">
    <dataValidation sqref="C4:C2000" showDropDown="0" showInputMessage="0" showErrorMessage="0" allowBlank="1" type="list">
      <formula1>"functional,structural,parametric,build-time,infrastructure"</formula1>
    </dataValidation>
    <dataValidation sqref="G4:G2000" showDropDown="0" showInputMessage="0" showErrorMessage="0" allowBlank="1" type="list">
      <formula1>"test,inspection,analysis,build-time"</formula1>
    </dataValidation>
    <dataValidation sqref="K4:K2000" showDropDown="0" showInputMessage="0" showErrorMessage="0" allowBlank="1" type="list">
      <formula1>"GENERATED,CONFIRMED,WAIVED"</formula1>
    </dataValidation>
    <dataValidation sqref="M4:M2000" showDropDown="0" showInputMessage="0" showErrorMessage="0" allowBlank="1" type="list">
      <formula1>"LOW,MEDIUM,HIGH"</formula1>
    </dataValidation>
    <dataValidation sqref="N4:N2000" showDropDown="0" showInputMessage="0" showErrorMessage="0" allowBlank="1" type="list">
      <formula1>"Functional,Structural,Protocol_Compliance,Reset,CDC,Error_Handling,Parametric,Infrastructure"</formula1>
    </dataValidation>
    <dataValidation sqref="O4:O2000" showDropDown="0" showInputMessage="0" showErrorMessage="0" allowBlank="1" type="list">
      <formula1>"ALL,PARITY_ENABLED,FIFO_DEPTH_GT_16,CONFIG_SPECIFIC"</formula1>
    </dataValidation>
    <dataValidation sqref="R4:R2000" showDropDown="0" showInputMessage="0" showErrorMessage="0" allowBlank="1" type="list">
      <formula1>"RTL,gate-level,post-layout,HIL"</formula1>
    </dataValidation>
    <dataValidation sqref="S4:S2000" showDropDown="0" showInputMessage="0" showErrorMessage="0" allowBlank="1" type="list">
      <formula1>"PASS,FAIL,NOT_RUN,BLOCKED"</formula1>
    </dataValidation>
    <dataValidation sqref="W4:W2000" showDropDown="0" showInputMessage="0" showErrorMessage="0" allowBlank="1" type="list">
      <formula1>"PASS,FAIL,NOT_RUN"</formula1>
    </dataValidation>
  </dataValidations>
  <pageMargins left="0.75" right="0.75" top="1" bottom="1" header="0.5" footer="0.5"/>
</worksheet>
</file>

<file path=xl/worksheets/sheet2.xml><?xml version="1.0" encoding="utf-8"?>
<worksheet xmlns="http://schemas.openxmlformats.org/spreadsheetml/2006/main">
  <sheetPr>
    <tabColor rgb="00375623"/>
    <outlinePr summaryBelow="1" summaryRight="1"/>
    <pageSetUpPr/>
  </sheetPr>
  <dimension ref="A1:I21"/>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0" customWidth="1" min="2" max="2"/>
    <col width="45" customWidth="1" min="3" max="3"/>
    <col width="40" customWidth="1" min="4" max="4"/>
    <col width="45" customWidth="1" min="5" max="5"/>
    <col width="35" customWidth="1" min="6" max="6"/>
    <col width="14" customWidth="1" min="7" max="7"/>
    <col width="18" customWidth="1" min="8" max="8"/>
  </cols>
  <sheetData>
    <row r="1" ht="18" customHeight="1"/>
    <row r="2" ht="28" customHeight="1">
      <c r="A2" s="7" t="inlineStr">
        <is>
          <t>ID</t>
        </is>
      </c>
      <c r="B2" s="7" t="inlineStr">
        <is>
          <t>Name</t>
        </is>
      </c>
      <c r="C2" s="7" t="inlineStr">
        <is>
          <t>Description</t>
        </is>
      </c>
      <c r="D2" s="7" t="inlineStr">
        <is>
          <t>Stimulus_Strategy</t>
        </is>
      </c>
      <c r="E2" s="7" t="inlineStr">
        <is>
          <t>Boundary_Values</t>
        </is>
      </c>
      <c r="F2" s="7" t="inlineStr">
        <is>
          <t>Linked_Requirements</t>
        </is>
      </c>
      <c r="G2" s="7" t="inlineStr">
        <is>
          <t>Status</t>
        </is>
      </c>
      <c r="H2" s="32" t="inlineStr">
        <is>
          <t>Coverage_Type</t>
        </is>
      </c>
      <c r="I2" s="7" t="inlineStr">
        <is>
          <t>Notes</t>
        </is>
      </c>
    </row>
    <row r="3">
      <c r="A3" s="16" t="inlineStr">
        <is>
          <t>COV-001</t>
        </is>
      </c>
      <c r="B3" s="16" t="inlineStr">
        <is>
          <t>BAUD_TUNING</t>
        </is>
      </c>
      <c r="C3" s="16" t="inlineStr">
        <is>
          <t>NCO tuning word sweep covering standard baud rates and boundary values. 12 values computed for G_CLK_FREQ_HZ = 100 MHz.</t>
        </is>
      </c>
      <c r="D3" s="16" t="inlineStr">
        <is>
          <t>NCO tuning word sweep at 12 values from minimum (0x00000001) to maximum (0xFFFFFFFF) including all standard baud rates.</t>
        </is>
      </c>
      <c r="E3" s="16" t="inlineStr">
        <is>
          <t>0x00000001 (min), standard baud rates 9600-921600, 3/4 Mbaud, 0xFFFFFFFF (max)</t>
        </is>
      </c>
      <c r="F3" s="16" t="inlineStr">
        <is>
          <t>UART-BR-001, UART-BR-002, UART-BR-003, UART-BR-005, UART-BR-006, UART-PAR-004, UART-PAR-005, UART-PAR-007, UART-REG-026, UART-REG-027</t>
        </is>
      </c>
      <c r="G3" s="16" t="inlineStr">
        <is>
          <t>PLANNED</t>
        </is>
      </c>
      <c r="H3" s="16" t="inlineStr">
        <is>
          <t>Functional</t>
        </is>
      </c>
      <c r="I3" s="16" t="inlineStr"/>
    </row>
    <row r="4">
      <c r="A4" s="16" t="inlineStr">
        <is>
          <t>COV-002</t>
        </is>
      </c>
      <c r="B4" s="16" t="inlineStr">
        <is>
          <t>CTRL.PARITY</t>
        </is>
      </c>
      <c r="C4" s="16" t="inlineStr">
        <is>
          <t>All four parity modes (none/odd/even/mark) exercised independently in LOOP_EN loopback with parity error injection for odd and even modes.</t>
        </is>
      </c>
      <c r="D4" s="16" t="inlineStr">
        <is>
          <t>All four parity modes (00/01/10/11) exercised independently in LOOP_EN loopback; inject parity error bit for odd and even modes.</t>
        </is>
      </c>
      <c r="E4" s="16" t="inlineStr">
        <is>
          <t>2'b00 (none), 2'b01 (odd+error inject), 2'b10 (even+error inject), 2'b11 (mark)</t>
        </is>
      </c>
      <c r="F4" s="16" t="inlineStr">
        <is>
          <t>UART-FF-005, UART-FF-006, UART-FF-007, UART-FF-008, UART-FF-009, UART-REG-009, UART-VER-009</t>
        </is>
      </c>
      <c r="G4" s="16" t="inlineStr">
        <is>
          <t>PLANNED</t>
        </is>
      </c>
      <c r="H4" s="16" t="inlineStr">
        <is>
          <t>Functional</t>
        </is>
      </c>
      <c r="I4" s="16" t="inlineStr"/>
    </row>
    <row r="5">
      <c r="A5" s="16" t="inlineStr">
        <is>
          <t>COV-003</t>
        </is>
      </c>
      <c r="B5" s="16" t="inlineStr">
        <is>
          <t>CTRL.STOP_BITS</t>
        </is>
      </c>
      <c r="C5" s="16" t="inlineStr">
        <is>
          <t>Both stop bit configurations (1 and 2 stop bits) exercised in loopback; receive accepts 1 stop bit in both modes.</t>
        </is>
      </c>
      <c r="D5" s="16" t="inlineStr">
        <is>
          <t>Both stop bit configurations (1 and 2 stop bits) exercised in LOOP_EN loopback with frame integrity check.</t>
        </is>
      </c>
      <c r="E5" s="16" t="inlineStr">
        <is>
          <t>1'b0 (1 stop bit), 1'b1 (2 stop bits)</t>
        </is>
      </c>
      <c r="F5" s="16" t="inlineStr">
        <is>
          <t>UART-FF-002, UART-FF-003, UART-FF-004, UART-REG-010</t>
        </is>
      </c>
      <c r="G5" s="16" t="inlineStr">
        <is>
          <t>PLANNED</t>
        </is>
      </c>
      <c r="H5" s="16" t="inlineStr">
        <is>
          <t>Functional</t>
        </is>
      </c>
      <c r="I5" s="16" t="inlineStr"/>
    </row>
    <row r="6">
      <c r="A6" s="16" t="inlineStr">
        <is>
          <t>COV-004</t>
        </is>
      </c>
      <c r="B6" s="16" t="inlineStr">
        <is>
          <t>FIFO_STATUS.RX_LEVEL</t>
        </is>
      </c>
      <c r="C6" s="16" t="inlineStr">
        <is>
          <t>RX FIFO occupancy swept to key boundary values relative to RX_THRESH. G_FIFO_DEPTH used for instantiation independence.</t>
        </is>
      </c>
      <c r="D6" s="16" t="inlineStr">
        <is>
          <t>RX FIFO occupancy driven to 0, RX_THRESH-1, RX_THRESH, RX_THRESH+1, and G_FIFO_DEPTH to verify status flags and overrun discard.</t>
        </is>
      </c>
      <c r="E6" s="16" t="inlineStr">
        <is>
          <t>0 (RX_EMPTY), RX_THRESH-1, RX_THRESH, RX_THRESH+1 (interrupt fires), G_FIFO_DEPTH (full/overrun)</t>
        </is>
      </c>
      <c r="F6" s="16" t="inlineStr">
        <is>
          <t>UART-FIFO-004, UART-FIFO-005, UART-FIFO-007, UART-FIFO-009, UART-REG-019, UART-REG-034</t>
        </is>
      </c>
      <c r="G6" s="16" t="inlineStr">
        <is>
          <t>PLANNED</t>
        </is>
      </c>
      <c r="H6" s="16" t="inlineStr">
        <is>
          <t>Functional</t>
        </is>
      </c>
      <c r="I6" s="16" t="inlineStr"/>
    </row>
    <row r="7">
      <c r="A7" s="16" t="inlineStr">
        <is>
          <t>COV-005</t>
        </is>
      </c>
      <c r="B7" s="16" t="inlineStr">
        <is>
          <t>FIFO_STATUS.TX_LEVEL</t>
        </is>
      </c>
      <c r="C7" s="16" t="inlineStr">
        <is>
          <t>TX FIFO occupancy swept to key boundary values. TX_THRESH fires when occupancy falls BELOW threshold (asymmetric vs RX — common RTL bug source).</t>
        </is>
      </c>
      <c r="D7" s="16" t="inlineStr">
        <is>
          <t>TX FIFO occupancy driven to 0, TX_THRESH-1, TX_THRESH, TX_THRESH+1, and G_FIFO_DEPTH to verify status flags and write-ignore behavior.</t>
        </is>
      </c>
      <c r="E7" s="16" t="inlineStr">
        <is>
          <t>0 (TX_EMPTY), TX_THRESH-1, TX_THRESH, TX_THRESH+1 (interrupt fires), G_FIFO_DEPTH (full)</t>
        </is>
      </c>
      <c r="F7" s="16" t="inlineStr">
        <is>
          <t>UART-FIFO-002, UART-FIFO-003, UART-FIFO-006, UART-FIFO-008, UART-REG-016, UART-REG-017, UART-REG-033</t>
        </is>
      </c>
      <c r="G7" s="16" t="inlineStr">
        <is>
          <t>PLANNED</t>
        </is>
      </c>
      <c r="H7" s="16" t="inlineStr">
        <is>
          <t>Functional</t>
        </is>
      </c>
      <c r="I7" s="16" t="inlineStr"/>
    </row>
    <row r="8">
      <c r="A8" s="16" t="inlineStr">
        <is>
          <t>COV-006</t>
        </is>
      </c>
      <c r="B8" s="16" t="inlineStr">
        <is>
          <t>TIMEOUT_VAL</t>
        </is>
      </c>
      <c r="C8" s="16" t="inlineStr">
        <is>
          <t>Timeout counter exercised at disable boundary (0) and active values including reset default. G_TIMEOUT_DEFAULT used for instantiation independence.</t>
        </is>
      </c>
      <c r="D8" s="16" t="inlineStr">
        <is>
          <t>TIMEOUT_VAL set to 0x0000, 0x0001, G_TIMEOUT_DEFAULT, 0xFFFE, and 0xFFFF; idle receiver until timeout fires for each non-zero value.</t>
        </is>
      </c>
      <c r="E8" s="16" t="inlineStr">
        <is>
          <t>0x0000 (disabled), 0x0001 (minimum active), G_TIMEOUT_DEFAULT (reset), 0xFFFE, 0xFFFF (maximum)</t>
        </is>
      </c>
      <c r="F8" s="16" t="inlineStr">
        <is>
          <t>UART-TO-001, UART-TO-002, UART-TO-003, UART-TO-004, UART-TO-005, UART-TO-006, UART-REG-035, UART-REG-036, UART-PAR-006, UART-VER-008</t>
        </is>
      </c>
      <c r="G8" s="16" t="inlineStr">
        <is>
          <t>PLANNED</t>
        </is>
      </c>
      <c r="H8" s="16" t="inlineStr">
        <is>
          <t>Functional</t>
        </is>
      </c>
      <c r="I8" s="16" t="inlineStr"/>
    </row>
    <row r="9">
      <c r="A9" s="16" t="inlineStr">
        <is>
          <t>COV-007</t>
        </is>
      </c>
      <c r="B9" s="16" t="inlineStr">
        <is>
          <t>INT_STATUS each_bit_independently</t>
        </is>
      </c>
      <c r="C9" s="16" t="inlineStr">
        <is>
          <t>Each of 8 interrupt sources set and cleared independently. Isolation before co-occurrence per NOTE-004.</t>
        </is>
      </c>
      <c r="D9" s="16" t="inlineStr">
        <is>
          <t>Each of 8 interrupt sources set and cleared independently via directed stimulus; verify IRQ asserts and deasserts correctly for each bit.</t>
        </is>
      </c>
      <c r="E9" s="16" t="inlineStr">
        <is>
          <t>Each of 8 bits: TIMEOUT, TX_THRESH, RX_THRESH, TX_EMPTY, RX_FULL, PARITY_ERR, FRAME_ERR, OVERRUN — set and W1C cleared independently</t>
        </is>
      </c>
      <c r="F9" s="16" t="inlineStr">
        <is>
          <t>UART-INT-001, UART-INT-002, UART-INT-003, UART-INT-004, UART-INT-005, UART-INT-006, UART-INT-007, UART-INT-008, UART-REG-037, UART-REG-039, UART-REG-040, UART-VER-004</t>
        </is>
      </c>
      <c r="G9" s="16" t="inlineStr">
        <is>
          <t>PLANNED</t>
        </is>
      </c>
      <c r="H9" s="16" t="inlineStr">
        <is>
          <t>Functional</t>
        </is>
      </c>
      <c r="I9" s="16" t="inlineStr"/>
    </row>
    <row r="10">
      <c r="A10" s="16" t="inlineStr">
        <is>
          <t>COV-008</t>
        </is>
      </c>
      <c r="B10" s="16" t="inlineStr">
        <is>
          <t>INT_STATUS.OVERRUN &amp;&amp; INT_STATUS.RX_FULL</t>
        </is>
      </c>
      <c r="C10" s="16" t="inlineStr">
        <is>
          <t>RX overrun while FIFO full — critical co-occurrence likely to expose FIFO pointer corruption bugs. Verifies overrun byte discarded and FIFO content preserved.</t>
        </is>
      </c>
      <c r="D10" s="16" t="inlineStr">
        <is>
          <t>Fill RX FIFO to capacity then transmit additional byte to force overrun; verify overrun byte discarded and FIFO content unchanged.</t>
        </is>
      </c>
      <c r="E10" s="16" t="inlineStr">
        <is>
          <t>RX FIFO at exactly G_FIFO_DEPTH, then one additional received byte</t>
        </is>
      </c>
      <c r="F10" s="16" t="inlineStr">
        <is>
          <t>UART-FIFO-007, UART-INT-005, UART-INT-006, UART-REG-018, UART-REG-024, UART-VER-005, UART-VER-010</t>
        </is>
      </c>
      <c r="G10" s="16" t="inlineStr">
        <is>
          <t>PLANNED</t>
        </is>
      </c>
      <c r="H10" s="16" t="inlineStr">
        <is>
          <t>Functional</t>
        </is>
      </c>
      <c r="I10" s="16" t="inlineStr"/>
    </row>
    <row r="11">
      <c r="A11" s="16" t="inlineStr">
        <is>
          <t>COV-009</t>
        </is>
      </c>
      <c r="B11" s="16" t="inlineStr">
        <is>
          <t>INT_STATUS.TIMEOUT &amp;&amp; INT_STATUS.RX_THRESH</t>
        </is>
      </c>
      <c r="C11" s="16" t="inlineStr">
        <is>
          <t>Timeout pending simultaneously with RX threshold. Verifies IRQ OR reduction logic handles multiple sources correctly.</t>
        </is>
      </c>
      <c r="D11" s="16" t="inlineStr">
        <is>
          <t>Set TIMEOUT_VAL non-zero, fill RX FIFO above RX_THRESH, then idle until timeout fires; verify both INT_STATUS.TIMEOUT and INT_STATUS.RX_THRESH set simultaneously.</t>
        </is>
      </c>
      <c r="E11" s="16" t="inlineStr">
        <is>
          <t>RX FIFO &gt; RX_THRESH (threshold set), then idle until timeout fires while threshold remains set</t>
        </is>
      </c>
      <c r="F11" s="16" t="inlineStr">
        <is>
          <t>UART-TO-005, UART-INT-002, UART-INT-008, UART-REG-014</t>
        </is>
      </c>
      <c r="G11" s="16" t="inlineStr">
        <is>
          <t>PLANNED</t>
        </is>
      </c>
      <c r="H11" s="16" t="inlineStr">
        <is>
          <t>Functional</t>
        </is>
      </c>
      <c r="I11" s="16" t="inlineStr"/>
    </row>
    <row r="12">
      <c r="A12" s="16" t="inlineStr">
        <is>
          <t>COV-010</t>
        </is>
      </c>
      <c r="B12" s="16" t="inlineStr">
        <is>
          <t>AXI_BRESP</t>
        </is>
      </c>
      <c r="C12" s="16" t="inlineStr">
        <is>
          <t>Both OKAY (2'b00) and SLVERR (2'b10) response codes on write channel. SLVERR via undefined offset 0x30 per NOTE-005.</t>
        </is>
      </c>
      <c r="D12" s="16" t="inlineStr">
        <is>
          <t>AXI write to valid register offset (OKAY expected) and to undefined offset 0x30 (SLVERR expected); capture BRESP each time.</t>
        </is>
      </c>
      <c r="E12" s="16" t="inlineStr">
        <is>
          <t>Valid offset BRESP=OKAY, undefined offset 0x30 BRESP=SLVERR</t>
        </is>
      </c>
      <c r="F12" s="16" t="inlineStr">
        <is>
          <t>UART-IF-006, UART-IF-008, UART-REG-001</t>
        </is>
      </c>
      <c r="G12" s="16" t="inlineStr">
        <is>
          <t>PLANNED</t>
        </is>
      </c>
      <c r="H12" s="16" t="inlineStr">
        <is>
          <t>Functional</t>
        </is>
      </c>
      <c r="I12" s="16" t="inlineStr"/>
    </row>
    <row r="13">
      <c r="A13" s="16" t="inlineStr">
        <is>
          <t>COV-011</t>
        </is>
      </c>
      <c r="B13" s="16" t="inlineStr">
        <is>
          <t>AXI_RRESP</t>
        </is>
      </c>
      <c r="C13" s="16" t="inlineStr">
        <is>
          <t>Both OKAY (2'b00) and SLVERR (2'b10) response codes on read channel. SLVERR via undefined offset 0x30 per NOTE-005.</t>
        </is>
      </c>
      <c r="D13" s="16" t="inlineStr">
        <is>
          <t>AXI read from valid register offset (OKAY expected) and from undefined offset 0x30 (SLVERR expected); capture RRESP each time.</t>
        </is>
      </c>
      <c r="E13" s="16" t="inlineStr">
        <is>
          <t>Valid offset RRESP=OKAY, undefined offset 0x30 RRESP=SLVERR</t>
        </is>
      </c>
      <c r="F13" s="16" t="inlineStr">
        <is>
          <t>UART-IF-007, UART-IF-009, UART-REG-001</t>
        </is>
      </c>
      <c r="G13" s="16" t="inlineStr">
        <is>
          <t>PLANNED</t>
        </is>
      </c>
      <c r="H13" s="16" t="inlineStr">
        <is>
          <t>Functional</t>
        </is>
      </c>
      <c r="I13" s="16" t="inlineStr"/>
    </row>
    <row r="14">
      <c r="A14" s="16" t="inlineStr">
        <is>
          <t>COV-012</t>
        </is>
      </c>
      <c r="B14" s="16" t="inlineStr">
        <is>
          <t>AXI_WRITE_ORDER</t>
        </is>
      </c>
      <c r="C14" s="16" t="inlineStr">
        <is>
          <t>Both AWVALID-first and WVALID-first AXI write orderings exercised. Many AXI-Lite slave implementations incorrectly assume AWVALID first.</t>
        </is>
      </c>
      <c r="D14" s="16" t="inlineStr">
        <is>
          <t>Issue AXI write with AWVALID first then WVALID, then repeat with WVALID first then AWVALID; verify correct response in both orderings.</t>
        </is>
      </c>
      <c r="E14" s="16" t="inlineStr">
        <is>
          <t>AWVALID_FIRST ordering, WVALID_FIRST ordering</t>
        </is>
      </c>
      <c r="F14" s="16" t="inlineStr">
        <is>
          <t>UART-IF-005, UART-VER-006</t>
        </is>
      </c>
      <c r="G14" s="16" t="inlineStr">
        <is>
          <t>PLANNED</t>
        </is>
      </c>
      <c r="H14" s="16" t="inlineStr">
        <is>
          <t>Functional</t>
        </is>
      </c>
      <c r="I14" s="16" t="inlineStr"/>
    </row>
    <row r="15">
      <c r="A15" s="16" t="inlineStr">
        <is>
          <t>COV-013</t>
        </is>
      </c>
      <c r="B15" s="16" t="inlineStr">
        <is>
          <t>BAUD_TUNING_WRITE_WHILE_ENABLED</t>
        </is>
      </c>
      <c r="C15" s="16" t="inlineStr">
        <is>
          <t>Write to BAUD_TUNING while UART_EN=1. Verifies silent-ignore behavior. Gap demo coverage point — closes when UART-BR-004 added to .req [confirmed].</t>
        </is>
      </c>
      <c r="D15" s="16" t="inlineStr">
        <is>
          <t>Assert UART_EN, write a new value to BAUD_TUNING, read back and verify original value unchanged; confirms silent-ignore while enabled.</t>
        </is>
      </c>
      <c r="E15" s="16" t="inlineStr">
        <is>
          <t>UART_EN=1, write new value, readback must equal original value</t>
        </is>
      </c>
      <c r="F15" s="16" t="inlineStr">
        <is>
          <t>UART-REG-028, UART-VER-007</t>
        </is>
      </c>
      <c r="G15" s="16" t="inlineStr">
        <is>
          <t>PLANNED</t>
        </is>
      </c>
      <c r="H15" s="16" t="inlineStr">
        <is>
          <t>Functional</t>
        </is>
      </c>
      <c r="I15" s="16" t="inlineStr">
        <is>
          <t>Gap demo item — intentionally absent from initial .req cross-references</t>
        </is>
      </c>
    </row>
    <row r="16">
      <c r="A16" s="16" t="inlineStr">
        <is>
          <t>COV-014</t>
        </is>
      </c>
      <c r="B16" s="16" t="inlineStr">
        <is>
          <t>SCRATCH</t>
        </is>
      </c>
      <c r="C16" s="16" t="inlineStr">
        <is>
          <t>Walking-ones pattern plus all-zeros and all-ones written and read back. First test in every sequence per NOTE-006.</t>
        </is>
      </c>
      <c r="D16" s="16" t="inlineStr">
        <is>
          <t>Write walking-ones (0x00000001 through 0x80000000), all-ones (0xFFFFFFFF), and all-zeros (0x00000000) to SCRATCH; read back and verify each value.</t>
        </is>
      </c>
      <c r="E16" s="16" t="inlineStr">
        <is>
          <t>0x00000001..0x80000000 (walking ones), 0x000000FF, 0xFFFFFFFF (all-ones), 0x00000000 (all-zeros)</t>
        </is>
      </c>
      <c r="F16" s="16" t="inlineStr">
        <is>
          <t>UART-REG-044, UART-REG-045, UART-REG-046, UART-VER-003</t>
        </is>
      </c>
      <c r="G16" s="16" t="inlineStr">
        <is>
          <t>PLANNED</t>
        </is>
      </c>
      <c r="H16" s="16" t="inlineStr">
        <is>
          <t>Functional</t>
        </is>
      </c>
      <c r="I16" s="16" t="inlineStr">
        <is>
          <t>First test in all sequences per NOTE-006</t>
        </is>
      </c>
    </row>
    <row r="17">
      <c r="A17" s="16" t="inlineStr">
        <is>
          <t>COV-015</t>
        </is>
      </c>
      <c r="B17" s="16" t="inlineStr">
        <is>
          <t>RESET_VALUES</t>
        </is>
      </c>
      <c r="C17" s="16" t="inlineStr">
        <is>
          <t>All 12 registers read after reset deassertion and compared to spec-defined reset values from Table 8-x.</t>
        </is>
      </c>
      <c r="D17" s="16" t="inlineStr">
        <is>
          <t>Assert then deassert reset; read all 12 registers and compare each field to the reset value specified in Table 8-x.</t>
        </is>
      </c>
      <c r="E17" s="16" t="inlineStr">
        <is>
          <t>12 register reset values per spec Table 8-x</t>
        </is>
      </c>
      <c r="F17" s="16" t="inlineStr">
        <is>
          <t>UART-RST-001, UART-RST-002, UART-RST-003, UART-RST-004, UART-RST-005, UART-RST-006, UART-REG-004, UART-REG-013, UART-REG-031, UART-REG-036, UART-REG-046, UART-PAR-007, UART-PAR-008, UART-VER-002</t>
        </is>
      </c>
      <c r="G17" s="16" t="inlineStr">
        <is>
          <t>PLANNED</t>
        </is>
      </c>
      <c r="H17" s="16" t="inlineStr">
        <is>
          <t>Functional</t>
        </is>
      </c>
      <c r="I17" s="16" t="inlineStr"/>
    </row>
    <row r="18">
      <c r="A18" s="16" t="inlineStr">
        <is>
          <t>COV-016</t>
        </is>
      </c>
      <c r="B18" s="16" t="inlineStr">
        <is>
          <t>UART_EN_CONTROL</t>
        </is>
      </c>
      <c r="C18" s="16" t="inlineStr">
        <is>
          <t>UART_EN, TX_EN, RX_EN, LOOP_EN control bit combinations verifying independent TX/RX path gating and loopback mode.</t>
        </is>
      </c>
      <c r="D18" s="16" t="inlineStr">
        <is>
          <t>Deassert UART_EN and verify TX/RX halt; then independently gate TX_EN and RX_EN with UART_EN=1 to verify path isolation; set LOOP_EN and verify loopback active.</t>
        </is>
      </c>
      <c r="E18" s="16" t="inlineStr">
        <is>
          <t>UART_EN=0 (halt), TX_EN=0 (TX off/RX active), RX_EN=0 (RX off/TX active), LOOP_EN=1 with UART_EN=1</t>
        </is>
      </c>
      <c r="F18" s="16" t="inlineStr">
        <is>
          <t>UART-EN-001, UART-EN-002, UART-EN-003, UART-EN-004, UART-EN-005, UART-EN-006, UART-REG-005, UART-REG-006, UART-REG-007, UART-REG-008</t>
        </is>
      </c>
      <c r="G18" s="16" t="inlineStr">
        <is>
          <t>PLANNED</t>
        </is>
      </c>
      <c r="H18" s="16" t="inlineStr">
        <is>
          <t>Functional</t>
        </is>
      </c>
      <c r="I18" s="16" t="inlineStr"/>
    </row>
    <row r="19">
      <c r="A19" s="16" t="inlineStr">
        <is>
          <t>COV-017</t>
        </is>
      </c>
      <c r="B19" s="16" t="inlineStr">
        <is>
          <t>FRAME_STRUCTURAL</t>
        </is>
      </c>
      <c r="C19" s="16" t="inlineStr">
        <is>
          <t>Structural verification: 8-bit data frames, G_FIFO_DEPTH FIFO depth, 32-bit AXI data width, single-beat AXI transactions only.</t>
        </is>
      </c>
      <c r="D19" s="16" t="inlineStr">
        <is>
          <t>Structural inspection: verify 8-bit data frames transmitted and received, AXI data width=32, address width sufficient, single-beat transactions only.</t>
        </is>
      </c>
      <c r="E19" s="16" t="inlineStr">
        <is>
          <t>8-bit frames; FIFO depth=G_FIFO_DEPTH; AXI data width=32; no burst transactions</t>
        </is>
      </c>
      <c r="F19" s="16" t="inlineStr">
        <is>
          <t>UART-FF-001, UART-FIFO-001, UART-IF-001, UART-IF-002, UART-IF-003, UART-IF-004, UART-IF-012, UART-IF-013, UART-IF-014, UART-PAR-001, UART-PAR-002, UART-PAR-009, UART-REG-032, UART-REG-033, UART-REG-034</t>
        </is>
      </c>
      <c r="G19" s="16" t="inlineStr">
        <is>
          <t>PLANNED</t>
        </is>
      </c>
      <c r="H19" s="16" t="inlineStr">
        <is>
          <t>Structural</t>
        </is>
      </c>
      <c r="I19" s="16" t="inlineStr"/>
    </row>
    <row r="20">
      <c r="A20" s="16" t="inlineStr">
        <is>
          <t>COV-018</t>
        </is>
      </c>
      <c r="B20" s="16" t="inlineStr">
        <is>
          <t>READONLY_IGNORE</t>
        </is>
      </c>
      <c r="C20" s="16" t="inlineStr">
        <is>
          <t>Write to each read-only register; read back and verify state unchanged. Covers STATUS, FIFO_STATUS, INT_STATUS, INT_CLEAR, TX_DATA reads, RX_DATA writes.</t>
        </is>
      </c>
      <c r="D20" s="16" t="inlineStr">
        <is>
          <t>Write to each read-only register (STATUS, FIFO_STATUS, INT_STATUS, INT_CLEAR, TX_DATA reads, RX_DATA writes); read back and verify state unchanged.</t>
        </is>
      </c>
      <c r="E20" s="16" t="inlineStr">
        <is>
          <t>Write all-ones to each RO register; compare pre- and post-write readback for each</t>
        </is>
      </c>
      <c r="F20" s="16" t="inlineStr">
        <is>
          <t>UART-IF-010, UART-IF-011, UART-REG-002, UART-REG-003, UART-REG-011, UART-REG-012, UART-REG-025, UART-REG-038, UART-REG-042, UART-REG-049, UART-REG-052</t>
        </is>
      </c>
      <c r="G20" s="16" t="inlineStr">
        <is>
          <t>PLANNED</t>
        </is>
      </c>
      <c r="H20" s="16" t="inlineStr">
        <is>
          <t>Structural</t>
        </is>
      </c>
      <c r="I20" s="16" t="inlineStr"/>
    </row>
    <row r="21">
      <c r="A21" s="16" t="inlineStr">
        <is>
          <t>COV-019</t>
        </is>
      </c>
      <c r="B21" s="16" t="inlineStr">
        <is>
          <t>INT_THRESH_FRAME</t>
        </is>
      </c>
      <c r="C21" s="16" t="inlineStr">
        <is>
          <t>TX/RX threshold interrupts, FRAME_ERR, and TIMEOUT interrupt enable gate exercised via directed stimulus targeting INT_ENABLE masking and INT_STATUS bit positions.</t>
        </is>
      </c>
      <c r="D21" s="16" t="inlineStr">
        <is>
          <t>Drive TX_THRESH and RX_THRESH interrupt conditions, inject FRAME_ERR via stop-bit corruption, enable TIMEOUT interrupt; verify each INT_STATUS bit controlled by INT_ENABLE gate.</t>
        </is>
      </c>
      <c r="E21" s="16" t="inlineStr">
        <is>
          <t>TX FIFO below TX_THRESH; RX FIFO above RX_THRESH; stop-bit corruption for FRAME_ERR; TIMEOUT with INT_ENABLE gates</t>
        </is>
      </c>
      <c r="F21" s="16" t="inlineStr">
        <is>
          <t>UART-INT-009, UART-INT-010, UART-INT-011, UART-INT-012, UART-INT-013, UART-TO-007, UART-REG-015, UART-REG-020, UART-REG-021, UART-REG-022, UART-REG-023, UART-REG-029, UART-REG-030, UART-REG-037, UART-REG-039, UART-REG-040, UART-REG-041, UART-REG-043, UART-REG-047, UART-REG-048, UART-REG-050, UART-REG-051</t>
        </is>
      </c>
      <c r="G21" s="16" t="inlineStr">
        <is>
          <t>PLANNED</t>
        </is>
      </c>
      <c r="H21" s="16" t="inlineStr">
        <is>
          <t>Functional</t>
        </is>
      </c>
      <c r="I21" s="16" t="inlineStr"/>
    </row>
  </sheetData>
  <mergeCells count="1">
    <mergeCell ref="A1:I1"/>
  </mergeCells>
  <dataValidations count="2">
    <dataValidation sqref="G3:G500" showDropDown="0" showInputMessage="1" showErrorMessage="1" allowBlank="1" errorTitle="Invalid value" error="Choose from the list." promptTitle="COV Status" prompt="PLANNED / IMPLEMENTED / PASSING / FAILING" type="list">
      <formula1>"PLANNED,IMPLEMENTED,PASSING,FAILING"</formula1>
    </dataValidation>
    <dataValidation sqref="H3:H200" showDropDown="0" showInputMessage="0" showErrorMessage="0" allowBlank="1" type="list">
      <formula1>"Functional,Code,Assertion,Toggle,FSM,Mixed"</formula1>
    </dataValidation>
  </dataValidations>
  <pageMargins left="0.75" right="0.75" top="1" bottom="1" header="0.5" footer="0.5"/>
</worksheet>
</file>

<file path=xl/worksheets/sheet3.xml><?xml version="1.0" encoding="utf-8"?>
<worksheet xmlns="http://schemas.openxmlformats.org/spreadsheetml/2006/main">
  <sheetPr>
    <tabColor rgb="007F6000"/>
    <outlinePr summaryBelow="1" summaryRight="1"/>
    <pageSetUpPr/>
  </sheetPr>
  <dimension ref="A1:D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5" customWidth="1" min="2" max="2"/>
    <col width="70" customWidth="1" min="3" max="3"/>
    <col width="30" customWidth="1" min="4" max="4"/>
  </cols>
  <sheetData>
    <row r="1" ht="18" customHeight="1">
      <c r="A1" s="10" t="inlineStr">
        <is>
          <t>STRATEGY NOTES — verification engineering decisions not captured in individual COV rows</t>
        </is>
      </c>
    </row>
    <row r="2" ht="28" customHeight="1">
      <c r="A2" s="7" t="inlineStr">
        <is>
          <t>ID</t>
        </is>
      </c>
      <c r="B2" s="7" t="inlineStr">
        <is>
          <t>Topic</t>
        </is>
      </c>
      <c r="C2" s="7" t="inlineStr">
        <is>
          <t>Note</t>
        </is>
      </c>
      <c r="D2" s="7" t="inlineStr">
        <is>
          <t>Applies_To</t>
        </is>
      </c>
    </row>
    <row r="3">
      <c r="A3" s="16" t="inlineStr">
        <is>
          <t>NOTE-001</t>
        </is>
      </c>
      <c r="B3" s="16" t="inlineStr">
        <is>
          <t>Primary Stimulus Method</t>
        </is>
      </c>
      <c r="C3" s="16" t="inlineStr">
        <is>
          <t>Loopback mode (LOOP_EN) is the primary stimulus strategy for all frame format and parity coverage goals. External UART stimulus is not used in the initial verification pass.</t>
        </is>
      </c>
      <c r="D3" s="16" t="inlineStr">
        <is>
          <t>COV-002, COV-003, COV-004, COV-005</t>
        </is>
      </c>
    </row>
    <row r="4">
      <c r="A4" s="16" t="inlineStr">
        <is>
          <t>NOTE-002</t>
        </is>
      </c>
      <c r="B4" s="16" t="inlineStr">
        <is>
          <t>NCO Verification</t>
        </is>
      </c>
      <c r="C4" s="16" t="inlineStr">
        <is>
          <t>The NCO baud rate generator is verified indirectly via loopback frame integrity at each COV-001 tuning word. Direct accumulator state observation is not required by any requirement.</t>
        </is>
      </c>
      <c r="D4" s="16" t="inlineStr">
        <is>
          <t>COV-001</t>
        </is>
      </c>
    </row>
    <row r="5">
      <c r="A5" s="16" t="inlineStr">
        <is>
          <t>NOTE-003</t>
        </is>
      </c>
      <c r="B5" s="16" t="inlineStr">
        <is>
          <t>FIFO Threshold Expressions</t>
        </is>
      </c>
      <c r="C5" s="16" t="inlineStr">
        <is>
          <t>FIFO threshold coverage goals COV-004 and COV-005 use relative expressions (RX_THRESH +/- 1) rather than absolute values so they remain valid across all G_FIFO_DEPTH instantiations without test modification.</t>
        </is>
      </c>
      <c r="D5" s="16" t="inlineStr">
        <is>
          <t>COV-004, COV-005</t>
        </is>
      </c>
    </row>
    <row r="6">
      <c r="A6" s="16" t="inlineStr">
        <is>
          <t>NOTE-004</t>
        </is>
      </c>
      <c r="B6" s="16" t="inlineStr">
        <is>
          <t>Interrupt Verification Order</t>
        </is>
      </c>
      <c r="C6" s="16" t="inlineStr">
        <is>
          <t>Interrupt model verification prioritizes isolation first (COV-007 each_bit_independently) then co-occurrence (COV-008, COV-009). A combined all-sources-simultaneously scenario is explicitly not targeted — it adds complexity without additional requirement closure.</t>
        </is>
      </c>
      <c r="D6" s="16" t="inlineStr">
        <is>
          <t>COV-007, COV-008, COV-009</t>
        </is>
      </c>
    </row>
    <row r="7">
      <c r="A7" s="16" t="inlineStr">
        <is>
          <t>NOTE-005</t>
        </is>
      </c>
      <c r="B7" s="16" t="inlineStr">
        <is>
          <t>AXI SLVERR Address</t>
        </is>
      </c>
      <c r="C7" s="16" t="inlineStr">
        <is>
          <t>AXI-Lite SLVERR coverage (COV-010, COV-011) is achieved by accessing offset 0x30 which is the first undefined address above the register map.</t>
        </is>
      </c>
      <c r="D7" s="16" t="inlineStr">
        <is>
          <t>COV-010, COV-011</t>
        </is>
      </c>
    </row>
    <row r="8">
      <c r="A8" s="16" t="inlineStr">
        <is>
          <t>NOTE-006</t>
        </is>
      </c>
      <c r="B8" s="16" t="inlineStr">
        <is>
          <t>SCRATCH Test Ordering</t>
        </is>
      </c>
      <c r="C8" s="16" t="inlineStr">
        <is>
          <t>The SCRATCH register walking-ones test (COV-014) is always the first test sequence executed before any functional register access, establishing AXI-Lite connectivity as a precondition for all subsequent tests.</t>
        </is>
      </c>
      <c r="D8" s="16" t="inlineStr">
        <is>
          <t>COV-014</t>
        </is>
      </c>
    </row>
    <row r="9">
      <c r="A9" s="16" t="inlineStr">
        <is>
          <t>NOTE-007</t>
        </is>
      </c>
      <c r="B9" s="16" t="inlineStr">
        <is>
          <t>Gap Demo Requirement</t>
        </is>
      </c>
      <c r="C9" s="16" t="inlineStr">
        <is>
          <t>UART-BR-004 is intentionally absent from the [confirmed] section of the .req file in the initial demonstration. This produces a Direction A ERROR in the gap report. Closing the gap by adding the [CONFIRMED] disposition to the .req file is the live demonstration of pssgen traceability. Do not add UART-BR-004 here until after the demo.</t>
        </is>
      </c>
      <c r="D9" s="16" t="inlineStr">
        <is>
          <t>UART-BR-004, COV-013</t>
        </is>
      </c>
    </row>
  </sheetData>
  <mergeCells count="1">
    <mergeCell ref="A1:D1"/>
  </mergeCells>
  <pageMargins left="0.75" right="0.75" top="1" bottom="1" header="0.5" footer="0.5"/>
</worksheet>
</file>

<file path=xl/worksheets/sheet4.xml><?xml version="1.0" encoding="utf-8"?>
<worksheet xmlns="http://schemas.openxmlformats.org/spreadsheetml/2006/main">
  <sheetPr>
    <tabColor rgb="00843C0C"/>
    <outlinePr summaryBelow="1" summaryRight="1"/>
    <pageSetUpPr/>
  </sheetPr>
  <dimension ref="A1:H14"/>
  <sheetViews>
    <sheetView workbookViewId="0">
      <selection activeCell="A1" sqref="A1"/>
    </sheetView>
  </sheetViews>
  <sheetFormatPr baseColWidth="8" defaultRowHeight="15"/>
  <cols>
    <col width="12" customWidth="1" min="1" max="1"/>
    <col width="8" customWidth="1" min="2" max="2"/>
    <col width="10" customWidth="1" min="3" max="3"/>
    <col width="10" customWidth="1" min="4" max="4"/>
    <col width="10" customWidth="1" min="5" max="5"/>
    <col width="10" customWidth="1" min="6" max="6"/>
    <col width="8" customWidth="1" min="7" max="7"/>
    <col width="14" customWidth="1" min="8" max="8"/>
  </cols>
  <sheetData>
    <row r="1" ht="24" customHeight="1">
      <c r="A1" s="11" t="inlineStr">
        <is>
          <t>VERIFICATION SUMMARY — computed from VPR tab</t>
        </is>
      </c>
    </row>
    <row r="2" ht="28" customHeight="1">
      <c r="A2" s="18" t="inlineStr">
        <is>
          <t>Family</t>
        </is>
      </c>
      <c r="B2" s="18" t="inlineStr">
        <is>
          <t>Total</t>
        </is>
      </c>
      <c r="C2" s="18" t="inlineStr">
        <is>
          <t>Covered</t>
        </is>
      </c>
      <c r="D2" s="18" t="inlineStr">
        <is>
          <t>Waived</t>
        </is>
      </c>
      <c r="E2" s="18" t="inlineStr">
        <is>
          <t>Gap</t>
        </is>
      </c>
      <c r="F2" s="18" t="inlineStr">
        <is>
          <t>% Complete</t>
        </is>
      </c>
      <c r="G2" s="7" t="inlineStr">
        <is>
          <t>Gap</t>
        </is>
      </c>
      <c r="H2" s="7" t="inlineStr">
        <is>
          <t>% Complete</t>
        </is>
      </c>
    </row>
    <row r="3" ht="22" customHeight="1">
      <c r="A3" s="19" t="inlineStr">
        <is>
          <t>PAR</t>
        </is>
      </c>
      <c r="B3" s="20">
        <f>COUNTIF(VPR!B4:B144,"PAR")</f>
        <v/>
      </c>
      <c r="C3" s="20">
        <f>COUNTIFS(VPR!B4:B144,"PAR",VPR!AB4:X144,"&lt;&gt;OPEN",VPR!AB4:X144,"&lt;&gt;WAIVED")</f>
        <v/>
      </c>
      <c r="D3" s="20">
        <f>COUNTIFS(VPR!B4:B144,"PAR",VPR!K4:K144,"WAIVED")</f>
        <v/>
      </c>
      <c r="E3" s="20">
        <f>B3-C3-D3</f>
        <v/>
      </c>
      <c r="F3" s="21">
        <f>IFERROR((C3+D3)/B3,0)</f>
        <v/>
      </c>
      <c r="G3" s="13" t="n"/>
      <c r="H3" s="13" t="n"/>
    </row>
    <row r="4">
      <c r="A4" s="22" t="inlineStr">
        <is>
          <t>IF</t>
        </is>
      </c>
      <c r="B4" s="22">
        <f>COUNTIF(VPR!B4:B144,"IF")</f>
        <v/>
      </c>
      <c r="C4" s="22">
        <f>COUNTIFS(VPR!B4:B144,"IF",VPR!AB4:X144,"&lt;&gt;OPEN",VPR!AB4:X144,"&lt;&gt;WAIVED")</f>
        <v/>
      </c>
      <c r="D4" s="22">
        <f>COUNTIFS(VPR!B4:B144,"IF",VPR!K4:K144,"WAIVED")</f>
        <v/>
      </c>
      <c r="E4" s="22">
        <f>B4-C4-D4</f>
        <v/>
      </c>
      <c r="F4" s="23">
        <f>IFERROR((C4+D4)/B4,0)</f>
        <v/>
      </c>
    </row>
    <row r="5">
      <c r="A5" s="22" t="inlineStr">
        <is>
          <t>EN</t>
        </is>
      </c>
      <c r="B5" s="22">
        <f>COUNTIF(VPR!B4:B144,"EN")</f>
        <v/>
      </c>
      <c r="C5" s="22">
        <f>COUNTIFS(VPR!B4:B144,"EN",VPR!AB4:X144,"&lt;&gt;OPEN",VPR!AB4:X144,"&lt;&gt;WAIVED")</f>
        <v/>
      </c>
      <c r="D5" s="22">
        <f>COUNTIFS(VPR!B4:B144,"EN",VPR!K4:K144,"WAIVED")</f>
        <v/>
      </c>
      <c r="E5" s="22">
        <f>B5-C5-D5</f>
        <v/>
      </c>
      <c r="F5" s="23">
        <f>IFERROR((C5+D5)/B5,0)</f>
        <v/>
      </c>
    </row>
    <row r="6">
      <c r="A6" s="22" t="inlineStr">
        <is>
          <t>BR</t>
        </is>
      </c>
      <c r="B6" s="22">
        <f>COUNTIF(VPR!B4:B144,"BR")</f>
        <v/>
      </c>
      <c r="C6" s="22">
        <f>COUNTIFS(VPR!B4:B144,"BR",VPR!AB4:X144,"&lt;&gt;OPEN",VPR!AB4:X144,"&lt;&gt;WAIVED")</f>
        <v/>
      </c>
      <c r="D6" s="22">
        <f>COUNTIFS(VPR!B4:B144,"BR",VPR!K4:K144,"WAIVED")</f>
        <v/>
      </c>
      <c r="E6" s="22">
        <f>B6-C6-D6</f>
        <v/>
      </c>
      <c r="F6" s="23">
        <f>IFERROR((C6+D6)/B6,0)</f>
        <v/>
      </c>
    </row>
    <row r="7">
      <c r="A7" s="22" t="inlineStr">
        <is>
          <t>FF</t>
        </is>
      </c>
      <c r="B7" s="22">
        <f>COUNTIF(VPR!B4:B144,"FF")</f>
        <v/>
      </c>
      <c r="C7" s="22">
        <f>COUNTIFS(VPR!B4:B144,"FF",VPR!AB4:X144,"&lt;&gt;OPEN",VPR!AB4:X144,"&lt;&gt;WAIVED")</f>
        <v/>
      </c>
      <c r="D7" s="22">
        <f>COUNTIFS(VPR!B4:B144,"FF",VPR!K4:K144,"WAIVED")</f>
        <v/>
      </c>
      <c r="E7" s="22">
        <f>B7-C7-D7</f>
        <v/>
      </c>
      <c r="F7" s="23">
        <f>IFERROR((C7+D7)/B7,0)</f>
        <v/>
      </c>
    </row>
    <row r="8">
      <c r="A8" s="22" t="inlineStr">
        <is>
          <t>FIFO</t>
        </is>
      </c>
      <c r="B8" s="22">
        <f>COUNTIF(VPR!B4:B144,"FIFO")</f>
        <v/>
      </c>
      <c r="C8" s="22">
        <f>COUNTIFS(VPR!B4:B144,"FIFO",VPR!AB4:X144,"&lt;&gt;OPEN",VPR!AB4:X144,"&lt;&gt;WAIVED")</f>
        <v/>
      </c>
      <c r="D8" s="22">
        <f>COUNTIFS(VPR!B4:B144,"FIFO",VPR!K4:K144,"WAIVED")</f>
        <v/>
      </c>
      <c r="E8" s="22">
        <f>B8-C8-D8</f>
        <v/>
      </c>
      <c r="F8" s="23">
        <f>IFERROR((C8+D8)/B8,0)</f>
        <v/>
      </c>
    </row>
    <row r="9">
      <c r="A9" s="22" t="inlineStr">
        <is>
          <t>TO</t>
        </is>
      </c>
      <c r="B9" s="22">
        <f>COUNTIF(VPR!B4:B144,"TO")</f>
        <v/>
      </c>
      <c r="C9" s="22">
        <f>COUNTIFS(VPR!B4:B144,"TO",VPR!AB4:X144,"&lt;&gt;OPEN",VPR!AB4:X144,"&lt;&gt;WAIVED")</f>
        <v/>
      </c>
      <c r="D9" s="22">
        <f>COUNTIFS(VPR!B4:B144,"TO",VPR!K4:K144,"WAIVED")</f>
        <v/>
      </c>
      <c r="E9" s="22">
        <f>B9-C9-D9</f>
        <v/>
      </c>
      <c r="F9" s="23">
        <f>IFERROR((C9+D9)/B9,0)</f>
        <v/>
      </c>
    </row>
    <row r="10">
      <c r="A10" s="22" t="inlineStr">
        <is>
          <t>INT</t>
        </is>
      </c>
      <c r="B10" s="22">
        <f>COUNTIF(VPR!B4:B144,"INT")</f>
        <v/>
      </c>
      <c r="C10" s="22">
        <f>COUNTIFS(VPR!B4:B144,"INT",VPR!AB4:X144,"&lt;&gt;OPEN",VPR!AB4:X144,"&lt;&gt;WAIVED")</f>
        <v/>
      </c>
      <c r="D10" s="22">
        <f>COUNTIFS(VPR!B4:B144,"INT",VPR!K4:K144,"WAIVED")</f>
        <v/>
      </c>
      <c r="E10" s="22">
        <f>B10-C10-D10</f>
        <v/>
      </c>
      <c r="F10" s="23">
        <f>IFERROR((C10+D10)/B10,0)</f>
        <v/>
      </c>
    </row>
    <row r="11">
      <c r="A11" s="22" t="inlineStr">
        <is>
          <t>REG</t>
        </is>
      </c>
      <c r="B11" s="22">
        <f>COUNTIF(VPR!B4:B144,"REG")</f>
        <v/>
      </c>
      <c r="C11" s="22">
        <f>COUNTIFS(VPR!B4:B144,"REG",VPR!AB4:X144,"&lt;&gt;OPEN",VPR!AB4:X144,"&lt;&gt;WAIVED")</f>
        <v/>
      </c>
      <c r="D11" s="22">
        <f>COUNTIFS(VPR!B4:B144,"REG",VPR!K4:K144,"WAIVED")</f>
        <v/>
      </c>
      <c r="E11" s="22">
        <f>B11-C11-D11</f>
        <v/>
      </c>
      <c r="F11" s="23">
        <f>IFERROR((C11+D11)/B11,0)</f>
        <v/>
      </c>
    </row>
    <row r="12">
      <c r="A12" s="22" t="inlineStr">
        <is>
          <t>RST</t>
        </is>
      </c>
      <c r="B12" s="22">
        <f>COUNTIF(VPR!B4:B144,"RST")</f>
        <v/>
      </c>
      <c r="C12" s="22">
        <f>COUNTIFS(VPR!B4:B144,"RST",VPR!AB4:X144,"&lt;&gt;OPEN",VPR!AB4:X144,"&lt;&gt;WAIVED")</f>
        <v/>
      </c>
      <c r="D12" s="22">
        <f>COUNTIFS(VPR!B4:B144,"RST",VPR!K4:K144,"WAIVED")</f>
        <v/>
      </c>
      <c r="E12" s="22">
        <f>B12-C12-D12</f>
        <v/>
      </c>
      <c r="F12" s="23">
        <f>IFERROR((C12+D12)/B12,0)</f>
        <v/>
      </c>
    </row>
    <row r="13">
      <c r="A13" s="22" t="inlineStr">
        <is>
          <t>VER</t>
        </is>
      </c>
      <c r="B13" s="22">
        <f>COUNTIF(VPR!B4:B144,"VER")</f>
        <v/>
      </c>
      <c r="C13" s="22">
        <f>COUNTIFS(VPR!B4:B144,"VER",VPR!AB4:X144,"&lt;&gt;OPEN",VPR!AB4:X144,"&lt;&gt;WAIVED")</f>
        <v/>
      </c>
      <c r="D13" s="22">
        <f>COUNTIFS(VPR!B4:B144,"VER",VPR!K4:K144,"WAIVED")</f>
        <v/>
      </c>
      <c r="E13" s="22">
        <f>B13-C13-D13</f>
        <v/>
      </c>
      <c r="F13" s="23">
        <f>IFERROR((C13+D13)/B13,0)</f>
        <v/>
      </c>
    </row>
    <row r="14">
      <c r="A14" s="24" t="inlineStr">
        <is>
          <t>TOTAL</t>
        </is>
      </c>
      <c r="B14" s="24">
        <f>SUM(B3:B13)</f>
        <v/>
      </c>
      <c r="C14" s="24">
        <f>SUM(C3:C13)</f>
        <v/>
      </c>
      <c r="D14" s="24">
        <f>SUM(D3:D13)</f>
        <v/>
      </c>
      <c r="E14" s="24">
        <f>SUM(E3:E13)</f>
        <v/>
      </c>
      <c r="F14" s="25">
        <f>IFERROR((C14+D14)/B14,0)</f>
        <v/>
      </c>
    </row>
  </sheetData>
  <mergeCells count="1">
    <mergeCell ref="A1:H1"/>
  </mergeCells>
  <pageMargins left="0.75" right="0.75" top="1" bottom="1" header="0.5" footer="0.5"/>
</worksheet>
</file>

<file path=xl/worksheets/sheet5.xml><?xml version="1.0" encoding="utf-8"?>
<worksheet xmlns="http://schemas.openxmlformats.org/spreadsheetml/2006/main">
  <sheetPr>
    <tabColor rgb="00633122"/>
    <outlinePr summaryBelow="1" summaryRight="1"/>
    <pageSetUpPr/>
  </sheetPr>
  <dimension ref="A1:L2"/>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6" customWidth="1" min="2" max="2"/>
    <col width="10" customWidth="1" min="3" max="3"/>
    <col width="12" customWidth="1" min="4" max="4"/>
    <col width="14" customWidth="1" min="5" max="5"/>
    <col width="50" customWidth="1" min="6" max="6"/>
    <col width="40" customWidth="1" min="7" max="7"/>
    <col width="40" customWidth="1" min="8" max="8"/>
    <col width="14" customWidth="1" min="9" max="9"/>
    <col width="14" customWidth="1" min="10" max="10"/>
    <col width="18" customWidth="1" min="11" max="11"/>
    <col width="18" customWidth="1" min="12" max="12"/>
  </cols>
  <sheetData>
    <row r="1" ht="18" customHeight="1"/>
    <row r="2" ht="28" customHeight="1">
      <c r="A2" s="7" t="inlineStr">
        <is>
          <t>Anomaly_ID</t>
        </is>
      </c>
      <c r="B2" s="7" t="inlineStr">
        <is>
          <t>Req_ID</t>
        </is>
      </c>
      <c r="C2" s="7" t="inlineStr">
        <is>
          <t>COV_ID</t>
        </is>
      </c>
      <c r="D2" s="7" t="inlineStr">
        <is>
          <t>Severity</t>
        </is>
      </c>
      <c r="E2" s="7" t="inlineStr">
        <is>
          <t>Status</t>
        </is>
      </c>
      <c r="F2" s="7" t="inlineStr">
        <is>
          <t>Description</t>
        </is>
      </c>
      <c r="G2" s="7" t="inlineStr">
        <is>
          <t>Root_Cause</t>
        </is>
      </c>
      <c r="H2" s="7" t="inlineStr">
        <is>
          <t>Resolution</t>
        </is>
      </c>
      <c r="I2" s="7" t="inlineStr">
        <is>
          <t>Opened_Date</t>
        </is>
      </c>
      <c r="J2" s="7" t="inlineStr">
        <is>
          <t>Closed_Date</t>
        </is>
      </c>
      <c r="K2" s="32" t="inlineStr">
        <is>
          <t>Impact</t>
        </is>
      </c>
      <c r="L2" s="32" t="inlineStr">
        <is>
          <t>Regression_Fixed</t>
        </is>
      </c>
    </row>
  </sheetData>
  <mergeCells count="1">
    <mergeCell ref="A1:L1"/>
  </mergeCells>
  <dataValidations count="4">
    <dataValidation sqref="D3:D500" showDropDown="0" showInputMessage="1" showErrorMessage="1" allowBlank="1" errorTitle="Invalid value" error="Choose from the list." promptTitle="Severity" prompt="CRITICAL / MAJOR / MINOR / OBSERVATION" type="list">
      <formula1>"CRITICAL,MAJOR,MINOR,OBSERVATION"</formula1>
    </dataValidation>
    <dataValidation sqref="E3:E500" showDropDown="0" showInputMessage="1" showErrorMessage="1" allowBlank="1" errorTitle="Invalid value" error="Choose from the list." promptTitle="Status" prompt="OPEN / IN_PROGRESS / RESOLVED / CLOSED" type="list">
      <formula1>"OPEN,IN_PROGRESS,RESOLVED,CLOSED"</formula1>
    </dataValidation>
    <dataValidation sqref="K3:K1000" showDropDown="0" showInputMessage="0" showErrorMessage="0" allowBlank="1" type="list">
      <formula1>"Functional,Timing,None"</formula1>
    </dataValidation>
    <dataValidation sqref="L3:L1000" showDropDown="0" showInputMessage="0" showErrorMessage="0" allowBlank="1" type="list">
      <formula1>"YES,NO,PENDING"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2026-04-12T01:35:14Z</dcterms:created>
  <dcterms:modified xmlns:dcterms="http://purl.org/dc/terms/" xmlns:xsi="http://www.w3.org/2001/XMLSchema-instance" xsi:type="dcterms:W3CDTF">2026-04-12T18:41:27Z</dcterms:modified>
</cp:coreProperties>
</file>